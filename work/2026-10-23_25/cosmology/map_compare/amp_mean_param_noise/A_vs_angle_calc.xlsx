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rams" sheetId="2" state="visible" r:id="rId2"/>
    <sheet name="A_vs_angle" sheetId="3" state="visible" r:id="rId3"/>
    <sheet name="Values_snapshot" sheetId="4" state="visible" r:id="rId4"/>
    <sheet name="Migkas_Fig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 vs angle (snapshot: expand S=+1, invsq)</a:t>
            </a:r>
          </a:p>
        </rich>
      </tx>
    </title>
    <plotArea>
      <scatterChart>
        <ser>
          <idx val="0"/>
          <order val="0"/>
          <tx>
            <v>A_active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'Values_snapshot'!$A$3:$A$75</f>
            </numRef>
          </xVal>
          <yVal>
            <numRef>
              <f>'Values_snapshot'!$H$2:$H$75</f>
            </numRef>
          </yVal>
        </ser>
        <ser>
          <idx val="1"/>
          <order val="1"/>
          <tx>
            <v>A collapse S=-1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'Values_snapshot'!$A$3:$A$75</f>
            </numRef>
          </xVal>
          <yVal>
            <numRef>
              <f>'Values_snapshot'!$I$2:$I$75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φ [deg]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 / Ai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Migkas Fig.6 A vs ℓ (model axis not rotated — you choose offset)</a:t>
            </a:r>
          </a:p>
        </rich>
      </tx>
    </title>
    <plotArea>
      <scatterChart>
        <ser>
          <idx val="0"/>
          <order val="0"/>
          <tx>
            <v>Migkas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'Migkas_Fig6'!$A$2:$A$72</f>
            </numRef>
          </xVal>
          <yVal>
            <numRef>
              <f>'Migkas_Fig6'!$B$1:$B$72</f>
            </numRef>
          </yVal>
        </ser>
        <ser>
          <idx val="1"/>
          <order val="1"/>
          <tx>
            <v>Model expand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'Values_snapshot'!$A$3:$A$75</f>
            </numRef>
          </xVal>
          <yVal>
            <numRef>
              <f>'Values_snapshot'!$H$2:$H$75</f>
            </numRef>
          </yVal>
        </ser>
        <ser>
          <idx val="2"/>
          <order val="2"/>
          <tx>
            <v>Model collapse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'Values_snapshot'!$A$3:$A$75</f>
            </numRef>
          </xVal>
          <yVal>
            <numRef>
              <f>'Values_snapshot'!$I$2:$I$75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ℓ or φ [deg]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A vs angle — transparent calculator</t>
        </is>
      </c>
    </row>
    <row r="2">
      <c r="A2" t="inlineStr"/>
    </row>
    <row r="3">
      <c r="A3" t="inlineStr">
        <is>
          <t>Purpose: You control every sign. Nothing hidden.</t>
        </is>
      </c>
    </row>
    <row r="4">
      <c r="A4" t="inlineStr"/>
    </row>
    <row r="5">
      <c r="A5" t="inlineStr">
        <is>
          <t>Sheets:</t>
        </is>
      </c>
    </row>
    <row r="6">
      <c r="A6" t="inlineStr">
        <is>
          <t xml:space="preserve">  1) Params — κ, α, expand/collapse switch, angle convention</t>
        </is>
      </c>
    </row>
    <row r="7">
      <c r="A7" t="inlineStr">
        <is>
          <t xml:space="preserve">  2) A_vs_angle — full table + chart (formulas live off Params)</t>
        </is>
      </c>
    </row>
    <row r="8">
      <c r="A8" t="inlineStr">
        <is>
          <t xml:space="preserve">  3) Migkas_Fig6 — digitised A points for overlay comparison</t>
        </is>
      </c>
    </row>
    <row r="9">
      <c r="A9" t="inlineStr"/>
    </row>
    <row r="10">
      <c r="A10" t="inlineStr">
        <is>
          <t>Kinematics (expanding, bolt-on / matched integral — SAME end kick):</t>
        </is>
      </c>
    </row>
    <row r="11">
      <c r="A11" t="inlineStr">
        <is>
          <t xml:space="preserve">  f(φ) = S * α * κ * (3 cos²φ − 1)</t>
        </is>
      </c>
    </row>
    <row r="12">
      <c r="A12" t="inlineStr">
        <is>
          <t xml:space="preserve">  S = +1 expand (Params!B5),  S = −1 collapse</t>
        </is>
      </c>
    </row>
    <row r="13">
      <c r="A13" t="inlineStr">
        <is>
          <t xml:space="preserve">  H_obs/H = 1 + f</t>
        </is>
      </c>
    </row>
    <row r="14">
      <c r="A14" t="inlineStr">
        <is>
          <t xml:space="preserve">  A_raw = 1 / (H_obs/H)²</t>
        </is>
      </c>
    </row>
    <row r="15">
      <c r="A15" t="inlineStr">
        <is>
          <t xml:space="preserve">  A = A_raw / mean(A_raw)</t>
        </is>
      </c>
    </row>
    <row r="16">
      <c r="A16" t="inlineStr"/>
    </row>
    <row r="17">
      <c r="A17" t="inlineStr">
        <is>
          <t>Angle convention (Params!B7):</t>
        </is>
      </c>
    </row>
    <row r="18">
      <c r="A18" t="inlineStr">
        <is>
          <t xml:space="preserve">  φ = 0°  → anti-center (away from CoE)   if mode = anti_center_zero</t>
        </is>
      </c>
    </row>
    <row r="19">
      <c r="A19" t="inlineStr">
        <is>
          <t xml:space="preserve">  φ = 180° → toward CoE</t>
        </is>
      </c>
    </row>
    <row r="20">
      <c r="A20" t="inlineStr">
        <is>
          <t xml:space="preserve">  Flip to center_zero to put CoE at φ=0 (swaps peak/trough on the page).</t>
        </is>
      </c>
    </row>
    <row r="21">
      <c r="A21" t="inlineStr"/>
    </row>
    <row r="22">
      <c r="A22" t="inlineStr">
        <is>
          <t>If the curve looks 'upside down / collapsing':</t>
        </is>
      </c>
    </row>
    <row r="23">
      <c r="A23" t="inlineStr">
        <is>
          <t xml:space="preserve">  — set S = −1, OR</t>
        </is>
      </c>
    </row>
    <row r="24">
      <c r="A24" t="inlineStr">
        <is>
          <t xml:space="preserve">  — set angle mode to center_zero, OR</t>
        </is>
      </c>
    </row>
    <row r="25">
      <c r="A25" t="inlineStr">
        <is>
          <t xml:space="preserve">  — compare hratio column (A∝H_obs/H) vs invsq (default Migkas A map).</t>
        </is>
      </c>
    </row>
    <row r="26">
      <c r="A26" t="inlineStr"/>
    </row>
    <row r="27">
      <c r="A27" t="inlineStr">
        <is>
          <t>Do not edit A_vs_angle formula cells except to experiment; change Params.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78" customWidth="1" min="3" max="3"/>
  </cols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kappa</t>
        </is>
      </c>
      <c r="B2" s="3" t="n">
        <v>0.15</v>
      </c>
      <c r="C2" t="inlineStr">
        <is>
          <t>κ = G m(D)/(D³ H²)</t>
        </is>
      </c>
    </row>
    <row r="3">
      <c r="A3" t="inlineStr">
        <is>
          <t>alpha</t>
        </is>
      </c>
      <c r="B3" s="3" t="n">
        <v>1</v>
      </c>
      <c r="C3" t="inlineStr">
        <is>
          <t>bolt-on α (matched integral uses same end kick ⇒ same α here)</t>
        </is>
      </c>
    </row>
    <row r="4">
      <c r="A4" t="inlineStr">
        <is>
          <t>S_expand</t>
        </is>
      </c>
      <c r="B4" s="3" t="n">
        <v>1</v>
      </c>
      <c r="C4" t="inlineStr">
        <is>
          <t>+1 = expanding H_bg&gt;0;  −1 = collapsing H_bg&lt;0  (THIS FLIPS THE CURVE)</t>
        </is>
      </c>
    </row>
    <row r="5">
      <c r="A5" t="inlineStr">
        <is>
          <t>A_map</t>
        </is>
      </c>
      <c r="B5" s="3" t="inlineStr">
        <is>
          <t>invsq</t>
        </is>
      </c>
      <c r="C5" t="inlineStr">
        <is>
          <t>invsq → A_raw=1/(1+f)² ;  hratio → A_raw=1+f  (then mean-renorm)</t>
        </is>
      </c>
    </row>
    <row r="6">
      <c r="A6" t="inlineStr">
        <is>
          <t>angle_zero</t>
        </is>
      </c>
      <c r="B6" s="3" t="inlineStr">
        <is>
          <t>anti_center</t>
        </is>
      </c>
      <c r="C6" t="inlineStr">
        <is>
          <t>anti_center: φ=0 away from CoE, φ=180 toward CoE;  center: opposite</t>
        </is>
      </c>
    </row>
    <row r="8">
      <c r="A8" s="2" t="inlineStr">
        <is>
          <t>Derived</t>
        </is>
      </c>
    </row>
    <row r="9">
      <c r="A9" t="inlineStr">
        <is>
          <t>alpha*kappa</t>
        </is>
      </c>
      <c r="B9">
        <f>B3*B2</f>
        <v/>
      </c>
    </row>
    <row r="10">
      <c r="A10" t="inlineStr">
        <is>
          <t>half_ptp_f_approx</t>
        </is>
      </c>
      <c r="B10">
        <f>ABS(B4)*B9*1.5</f>
        <v/>
      </c>
      <c r="C10" t="inlineStr">
        <is>
          <t>rough |f| half range ≈ 1.5 |S|ακ (P2 goes −ακ..+2ακ)</t>
        </is>
      </c>
    </row>
    <row r="12">
      <c r="A12" s="2" t="inlineStr">
        <is>
          <t>INSTRUCTIONS</t>
        </is>
      </c>
    </row>
    <row r="13">
      <c r="A13" t="inlineStr">
        <is>
          <t>Yellow cells are inputs. Change S_expand to -1 to see collapse. Change angle_zero to center to flip axis labeling.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4" t="inlineStr">
        <is>
          <t>phi_deg</t>
        </is>
      </c>
      <c r="B1" s="4" t="inlineStr">
        <is>
          <t>phi_used_deg</t>
        </is>
      </c>
      <c r="C1" s="4" t="inlineStr">
        <is>
          <t>mu</t>
        </is>
      </c>
      <c r="D1" s="4" t="inlineStr">
        <is>
          <t>P2</t>
        </is>
      </c>
      <c r="E1" s="4" t="inlineStr">
        <is>
          <t>f</t>
        </is>
      </c>
      <c r="F1" s="4" t="inlineStr">
        <is>
          <t>Hobs_over_H</t>
        </is>
      </c>
      <c r="G1" s="4" t="inlineStr">
        <is>
          <t>A_raw_invsq</t>
        </is>
      </c>
      <c r="H1" s="4" t="inlineStr">
        <is>
          <t>A_raw_hratio</t>
        </is>
      </c>
      <c r="I1" s="4" t="inlineStr">
        <is>
          <t>A_invsq</t>
        </is>
      </c>
      <c r="J1" s="4" t="inlineStr">
        <is>
          <t>A_hratio</t>
        </is>
      </c>
      <c r="K1" s="4" t="inlineStr">
        <is>
          <t>A_active</t>
        </is>
      </c>
      <c r="M1" s="5" t="inlineStr">
        <is>
          <t>MICRO-MANAGE</t>
        </is>
      </c>
    </row>
    <row r="2">
      <c r="A2" t="n">
        <v>0</v>
      </c>
      <c r="B2">
        <f>IF(Params!$B$6="center",MOD(A2+180,360),A2)</f>
        <v/>
      </c>
      <c r="C2">
        <f>COS(RADIANS(B2))</f>
        <v/>
      </c>
      <c r="D2">
        <f>0.5*(3*C2^2-1)</f>
        <v/>
      </c>
      <c r="E2">
        <f>Params!$B$4*Params!$B$3*Params!$B$2*(3*C2^2-1)</f>
        <v/>
      </c>
      <c r="F2">
        <f>1+E2</f>
        <v/>
      </c>
      <c r="G2">
        <f>1/F2^2</f>
        <v/>
      </c>
      <c r="H2">
        <f>F2</f>
        <v/>
      </c>
      <c r="I2">
        <f>G2/AVERAGE($G$2:$G$74)</f>
        <v/>
      </c>
      <c r="J2">
        <f>H2/AVERAGE($H$2:$H$74)</f>
        <v/>
      </c>
      <c r="K2">
        <f>IF(Params!$B$5="hratio",J2,I2)</f>
        <v/>
      </c>
      <c r="M2" t="inlineStr">
        <is>
          <t>Edit yellow cells on Params sheet only.</t>
        </is>
      </c>
    </row>
    <row r="3">
      <c r="A3" t="n">
        <v>5</v>
      </c>
      <c r="B3">
        <f>IF(Params!$B$6="center",MOD(A3+180,360),A3)</f>
        <v/>
      </c>
      <c r="C3">
        <f>COS(RADIANS(B3))</f>
        <v/>
      </c>
      <c r="D3">
        <f>0.5*(3*C3^2-1)</f>
        <v/>
      </c>
      <c r="E3">
        <f>Params!$B$4*Params!$B$3*Params!$B$2*(3*C3^2-1)</f>
        <v/>
      </c>
      <c r="F3">
        <f>1+E3</f>
        <v/>
      </c>
      <c r="G3">
        <f>1/F3^2</f>
        <v/>
      </c>
      <c r="H3">
        <f>F3</f>
        <v/>
      </c>
      <c r="I3">
        <f>G3/AVERAGE($G$2:$G$74)</f>
        <v/>
      </c>
      <c r="J3">
        <f>H3/AVERAGE($H$2:$H$74)</f>
        <v/>
      </c>
      <c r="K3">
        <f>IF(Params!$B$5="hratio",J3,I3)</f>
        <v/>
      </c>
      <c r="M3" t="inlineStr">
        <is>
          <t>S_expand = +1 or -1 flips expand/collapse.</t>
        </is>
      </c>
    </row>
    <row r="4">
      <c r="A4" t="n">
        <v>10</v>
      </c>
      <c r="B4">
        <f>IF(Params!$B$6="center",MOD(A4+180,360),A4)</f>
        <v/>
      </c>
      <c r="C4">
        <f>COS(RADIANS(B4))</f>
        <v/>
      </c>
      <c r="D4">
        <f>0.5*(3*C4^2-1)</f>
        <v/>
      </c>
      <c r="E4">
        <f>Params!$B$4*Params!$B$3*Params!$B$2*(3*C4^2-1)</f>
        <v/>
      </c>
      <c r="F4">
        <f>1+E4</f>
        <v/>
      </c>
      <c r="G4">
        <f>1/F4^2</f>
        <v/>
      </c>
      <c r="H4">
        <f>F4</f>
        <v/>
      </c>
      <c r="I4">
        <f>G4/AVERAGE($G$2:$G$74)</f>
        <v/>
      </c>
      <c r="J4">
        <f>H4/AVERAGE($H$2:$H$74)</f>
        <v/>
      </c>
      <c r="K4">
        <f>IF(Params!$B$5="hratio",J4,I4)</f>
        <v/>
      </c>
      <c r="M4" t="inlineStr">
        <is>
          <t>angle_zero = anti_center or center flips where CoE sits on the x-axis.</t>
        </is>
      </c>
    </row>
    <row r="5">
      <c r="A5" t="n">
        <v>15</v>
      </c>
      <c r="B5">
        <f>IF(Params!$B$6="center",MOD(A5+180,360),A5)</f>
        <v/>
      </c>
      <c r="C5">
        <f>COS(RADIANS(B5))</f>
        <v/>
      </c>
      <c r="D5">
        <f>0.5*(3*C5^2-1)</f>
        <v/>
      </c>
      <c r="E5">
        <f>Params!$B$4*Params!$B$3*Params!$B$2*(3*C5^2-1)</f>
        <v/>
      </c>
      <c r="F5">
        <f>1+E5</f>
        <v/>
      </c>
      <c r="G5">
        <f>1/F5^2</f>
        <v/>
      </c>
      <c r="H5">
        <f>F5</f>
        <v/>
      </c>
      <c r="I5">
        <f>G5/AVERAGE($G$2:$G$74)</f>
        <v/>
      </c>
      <c r="J5">
        <f>H5/AVERAGE($H$2:$H$74)</f>
        <v/>
      </c>
      <c r="K5">
        <f>IF(Params!$B$5="hratio",J5,I5)</f>
        <v/>
      </c>
      <c r="M5" t="inlineStr">
        <is>
          <t>A_map = invsq or hratio.</t>
        </is>
      </c>
    </row>
    <row r="6">
      <c r="A6" t="n">
        <v>20</v>
      </c>
      <c r="B6">
        <f>IF(Params!$B$6="center",MOD(A6+180,360),A6)</f>
        <v/>
      </c>
      <c r="C6">
        <f>COS(RADIANS(B6))</f>
        <v/>
      </c>
      <c r="D6">
        <f>0.5*(3*C6^2-1)</f>
        <v/>
      </c>
      <c r="E6">
        <f>Params!$B$4*Params!$B$3*Params!$B$2*(3*C6^2-1)</f>
        <v/>
      </c>
      <c r="F6">
        <f>1+E6</f>
        <v/>
      </c>
      <c r="G6">
        <f>1/F6^2</f>
        <v/>
      </c>
      <c r="H6">
        <f>F6</f>
        <v/>
      </c>
      <c r="I6">
        <f>G6/AVERAGE($G$2:$G$74)</f>
        <v/>
      </c>
      <c r="J6">
        <f>H6/AVERAGE($H$2:$H$74)</f>
        <v/>
      </c>
      <c r="K6">
        <f>IF(Params!$B$5="hratio",J6,I6)</f>
        <v/>
      </c>
      <c r="M6" t="inlineStr">
        <is>
          <t>Open Values_snapshot chart for immediate picture; A_vs_angle has live Excel formulas.</t>
        </is>
      </c>
    </row>
    <row r="7">
      <c r="A7" t="n">
        <v>25</v>
      </c>
      <c r="B7">
        <f>IF(Params!$B$6="center",MOD(A7+180,360),A7)</f>
        <v/>
      </c>
      <c r="C7">
        <f>COS(RADIANS(B7))</f>
        <v/>
      </c>
      <c r="D7">
        <f>0.5*(3*C7^2-1)</f>
        <v/>
      </c>
      <c r="E7">
        <f>Params!$B$4*Params!$B$3*Params!$B$2*(3*C7^2-1)</f>
        <v/>
      </c>
      <c r="F7">
        <f>1+E7</f>
        <v/>
      </c>
      <c r="G7">
        <f>1/F7^2</f>
        <v/>
      </c>
      <c r="H7">
        <f>F7</f>
        <v/>
      </c>
      <c r="I7">
        <f>G7/AVERAGE($G$2:$G$74)</f>
        <v/>
      </c>
      <c r="J7">
        <f>H7/AVERAGE($H$2:$H$74)</f>
        <v/>
      </c>
      <c r="K7">
        <f>IF(Params!$B$5="hratio",J7,I7)</f>
        <v/>
      </c>
    </row>
    <row r="8">
      <c r="A8" t="n">
        <v>30</v>
      </c>
      <c r="B8">
        <f>IF(Params!$B$6="center",MOD(A8+180,360),A8)</f>
        <v/>
      </c>
      <c r="C8">
        <f>COS(RADIANS(B8))</f>
        <v/>
      </c>
      <c r="D8">
        <f>0.5*(3*C8^2-1)</f>
        <v/>
      </c>
      <c r="E8">
        <f>Params!$B$4*Params!$B$3*Params!$B$2*(3*C8^2-1)</f>
        <v/>
      </c>
      <c r="F8">
        <f>1+E8</f>
        <v/>
      </c>
      <c r="G8">
        <f>1/F8^2</f>
        <v/>
      </c>
      <c r="H8">
        <f>F8</f>
        <v/>
      </c>
      <c r="I8">
        <f>G8/AVERAGE($G$2:$G$74)</f>
        <v/>
      </c>
      <c r="J8">
        <f>H8/AVERAGE($H$2:$H$74)</f>
        <v/>
      </c>
      <c r="K8">
        <f>IF(Params!$B$5="hratio",J8,I8)</f>
        <v/>
      </c>
    </row>
    <row r="9">
      <c r="A9" t="n">
        <v>35</v>
      </c>
      <c r="B9">
        <f>IF(Params!$B$6="center",MOD(A9+180,360),A9)</f>
        <v/>
      </c>
      <c r="C9">
        <f>COS(RADIANS(B9))</f>
        <v/>
      </c>
      <c r="D9">
        <f>0.5*(3*C9^2-1)</f>
        <v/>
      </c>
      <c r="E9">
        <f>Params!$B$4*Params!$B$3*Params!$B$2*(3*C9^2-1)</f>
        <v/>
      </c>
      <c r="F9">
        <f>1+E9</f>
        <v/>
      </c>
      <c r="G9">
        <f>1/F9^2</f>
        <v/>
      </c>
      <c r="H9">
        <f>F9</f>
        <v/>
      </c>
      <c r="I9">
        <f>G9/AVERAGE($G$2:$G$74)</f>
        <v/>
      </c>
      <c r="J9">
        <f>H9/AVERAGE($H$2:$H$74)</f>
        <v/>
      </c>
      <c r="K9">
        <f>IF(Params!$B$5="hratio",J9,I9)</f>
        <v/>
      </c>
    </row>
    <row r="10">
      <c r="A10" t="n">
        <v>40</v>
      </c>
      <c r="B10">
        <f>IF(Params!$B$6="center",MOD(A10+180,360),A10)</f>
        <v/>
      </c>
      <c r="C10">
        <f>COS(RADIANS(B10))</f>
        <v/>
      </c>
      <c r="D10">
        <f>0.5*(3*C10^2-1)</f>
        <v/>
      </c>
      <c r="E10">
        <f>Params!$B$4*Params!$B$3*Params!$B$2*(3*C10^2-1)</f>
        <v/>
      </c>
      <c r="F10">
        <f>1+E10</f>
        <v/>
      </c>
      <c r="G10">
        <f>1/F10^2</f>
        <v/>
      </c>
      <c r="H10">
        <f>F10</f>
        <v/>
      </c>
      <c r="I10">
        <f>G10/AVERAGE($G$2:$G$74)</f>
        <v/>
      </c>
      <c r="J10">
        <f>H10/AVERAGE($H$2:$H$74)</f>
        <v/>
      </c>
      <c r="K10">
        <f>IF(Params!$B$5="hratio",J10,I10)</f>
        <v/>
      </c>
    </row>
    <row r="11">
      <c r="A11" t="n">
        <v>45</v>
      </c>
      <c r="B11">
        <f>IF(Params!$B$6="center",MOD(A11+180,360),A11)</f>
        <v/>
      </c>
      <c r="C11">
        <f>COS(RADIANS(B11))</f>
        <v/>
      </c>
      <c r="D11">
        <f>0.5*(3*C11^2-1)</f>
        <v/>
      </c>
      <c r="E11">
        <f>Params!$B$4*Params!$B$3*Params!$B$2*(3*C11^2-1)</f>
        <v/>
      </c>
      <c r="F11">
        <f>1+E11</f>
        <v/>
      </c>
      <c r="G11">
        <f>1/F11^2</f>
        <v/>
      </c>
      <c r="H11">
        <f>F11</f>
        <v/>
      </c>
      <c r="I11">
        <f>G11/AVERAGE($G$2:$G$74)</f>
        <v/>
      </c>
      <c r="J11">
        <f>H11/AVERAGE($H$2:$H$74)</f>
        <v/>
      </c>
      <c r="K11">
        <f>IF(Params!$B$5="hratio",J11,I11)</f>
        <v/>
      </c>
    </row>
    <row r="12">
      <c r="A12" t="n">
        <v>50</v>
      </c>
      <c r="B12">
        <f>IF(Params!$B$6="center",MOD(A12+180,360),A12)</f>
        <v/>
      </c>
      <c r="C12">
        <f>COS(RADIANS(B12))</f>
        <v/>
      </c>
      <c r="D12">
        <f>0.5*(3*C12^2-1)</f>
        <v/>
      </c>
      <c r="E12">
        <f>Params!$B$4*Params!$B$3*Params!$B$2*(3*C12^2-1)</f>
        <v/>
      </c>
      <c r="F12">
        <f>1+E12</f>
        <v/>
      </c>
      <c r="G12">
        <f>1/F12^2</f>
        <v/>
      </c>
      <c r="H12">
        <f>F12</f>
        <v/>
      </c>
      <c r="I12">
        <f>G12/AVERAGE($G$2:$G$74)</f>
        <v/>
      </c>
      <c r="J12">
        <f>H12/AVERAGE($H$2:$H$74)</f>
        <v/>
      </c>
      <c r="K12">
        <f>IF(Params!$B$5="hratio",J12,I12)</f>
        <v/>
      </c>
    </row>
    <row r="13">
      <c r="A13" t="n">
        <v>55</v>
      </c>
      <c r="B13">
        <f>IF(Params!$B$6="center",MOD(A13+180,360),A13)</f>
        <v/>
      </c>
      <c r="C13">
        <f>COS(RADIANS(B13))</f>
        <v/>
      </c>
      <c r="D13">
        <f>0.5*(3*C13^2-1)</f>
        <v/>
      </c>
      <c r="E13">
        <f>Params!$B$4*Params!$B$3*Params!$B$2*(3*C13^2-1)</f>
        <v/>
      </c>
      <c r="F13">
        <f>1+E13</f>
        <v/>
      </c>
      <c r="G13">
        <f>1/F13^2</f>
        <v/>
      </c>
      <c r="H13">
        <f>F13</f>
        <v/>
      </c>
      <c r="I13">
        <f>G13/AVERAGE($G$2:$G$74)</f>
        <v/>
      </c>
      <c r="J13">
        <f>H13/AVERAGE($H$2:$H$74)</f>
        <v/>
      </c>
      <c r="K13">
        <f>IF(Params!$B$5="hratio",J13,I13)</f>
        <v/>
      </c>
    </row>
    <row r="14">
      <c r="A14" t="n">
        <v>60</v>
      </c>
      <c r="B14">
        <f>IF(Params!$B$6="center",MOD(A14+180,360),A14)</f>
        <v/>
      </c>
      <c r="C14">
        <f>COS(RADIANS(B14))</f>
        <v/>
      </c>
      <c r="D14">
        <f>0.5*(3*C14^2-1)</f>
        <v/>
      </c>
      <c r="E14">
        <f>Params!$B$4*Params!$B$3*Params!$B$2*(3*C14^2-1)</f>
        <v/>
      </c>
      <c r="F14">
        <f>1+E14</f>
        <v/>
      </c>
      <c r="G14">
        <f>1/F14^2</f>
        <v/>
      </c>
      <c r="H14">
        <f>F14</f>
        <v/>
      </c>
      <c r="I14">
        <f>G14/AVERAGE($G$2:$G$74)</f>
        <v/>
      </c>
      <c r="J14">
        <f>H14/AVERAGE($H$2:$H$74)</f>
        <v/>
      </c>
      <c r="K14">
        <f>IF(Params!$B$5="hratio",J14,I14)</f>
        <v/>
      </c>
    </row>
    <row r="15">
      <c r="A15" t="n">
        <v>65</v>
      </c>
      <c r="B15">
        <f>IF(Params!$B$6="center",MOD(A15+180,360),A15)</f>
        <v/>
      </c>
      <c r="C15">
        <f>COS(RADIANS(B15))</f>
        <v/>
      </c>
      <c r="D15">
        <f>0.5*(3*C15^2-1)</f>
        <v/>
      </c>
      <c r="E15">
        <f>Params!$B$4*Params!$B$3*Params!$B$2*(3*C15^2-1)</f>
        <v/>
      </c>
      <c r="F15">
        <f>1+E15</f>
        <v/>
      </c>
      <c r="G15">
        <f>1/F15^2</f>
        <v/>
      </c>
      <c r="H15">
        <f>F15</f>
        <v/>
      </c>
      <c r="I15">
        <f>G15/AVERAGE($G$2:$G$74)</f>
        <v/>
      </c>
      <c r="J15">
        <f>H15/AVERAGE($H$2:$H$74)</f>
        <v/>
      </c>
      <c r="K15">
        <f>IF(Params!$B$5="hratio",J15,I15)</f>
        <v/>
      </c>
    </row>
    <row r="16">
      <c r="A16" t="n">
        <v>70</v>
      </c>
      <c r="B16">
        <f>IF(Params!$B$6="center",MOD(A16+180,360),A16)</f>
        <v/>
      </c>
      <c r="C16">
        <f>COS(RADIANS(B16))</f>
        <v/>
      </c>
      <c r="D16">
        <f>0.5*(3*C16^2-1)</f>
        <v/>
      </c>
      <c r="E16">
        <f>Params!$B$4*Params!$B$3*Params!$B$2*(3*C16^2-1)</f>
        <v/>
      </c>
      <c r="F16">
        <f>1+E16</f>
        <v/>
      </c>
      <c r="G16">
        <f>1/F16^2</f>
        <v/>
      </c>
      <c r="H16">
        <f>F16</f>
        <v/>
      </c>
      <c r="I16">
        <f>G16/AVERAGE($G$2:$G$74)</f>
        <v/>
      </c>
      <c r="J16">
        <f>H16/AVERAGE($H$2:$H$74)</f>
        <v/>
      </c>
      <c r="K16">
        <f>IF(Params!$B$5="hratio",J16,I16)</f>
        <v/>
      </c>
    </row>
    <row r="17">
      <c r="A17" t="n">
        <v>75</v>
      </c>
      <c r="B17">
        <f>IF(Params!$B$6="center",MOD(A17+180,360),A17)</f>
        <v/>
      </c>
      <c r="C17">
        <f>COS(RADIANS(B17))</f>
        <v/>
      </c>
      <c r="D17">
        <f>0.5*(3*C17^2-1)</f>
        <v/>
      </c>
      <c r="E17">
        <f>Params!$B$4*Params!$B$3*Params!$B$2*(3*C17^2-1)</f>
        <v/>
      </c>
      <c r="F17">
        <f>1+E17</f>
        <v/>
      </c>
      <c r="G17">
        <f>1/F17^2</f>
        <v/>
      </c>
      <c r="H17">
        <f>F17</f>
        <v/>
      </c>
      <c r="I17">
        <f>G17/AVERAGE($G$2:$G$74)</f>
        <v/>
      </c>
      <c r="J17">
        <f>H17/AVERAGE($H$2:$H$74)</f>
        <v/>
      </c>
      <c r="K17">
        <f>IF(Params!$B$5="hratio",J17,I17)</f>
        <v/>
      </c>
    </row>
    <row r="18">
      <c r="A18" t="n">
        <v>80</v>
      </c>
      <c r="B18">
        <f>IF(Params!$B$6="center",MOD(A18+180,360),A18)</f>
        <v/>
      </c>
      <c r="C18">
        <f>COS(RADIANS(B18))</f>
        <v/>
      </c>
      <c r="D18">
        <f>0.5*(3*C18^2-1)</f>
        <v/>
      </c>
      <c r="E18">
        <f>Params!$B$4*Params!$B$3*Params!$B$2*(3*C18^2-1)</f>
        <v/>
      </c>
      <c r="F18">
        <f>1+E18</f>
        <v/>
      </c>
      <c r="G18">
        <f>1/F18^2</f>
        <v/>
      </c>
      <c r="H18">
        <f>F18</f>
        <v/>
      </c>
      <c r="I18">
        <f>G18/AVERAGE($G$2:$G$74)</f>
        <v/>
      </c>
      <c r="J18">
        <f>H18/AVERAGE($H$2:$H$74)</f>
        <v/>
      </c>
      <c r="K18">
        <f>IF(Params!$B$5="hratio",J18,I18)</f>
        <v/>
      </c>
    </row>
    <row r="19">
      <c r="A19" t="n">
        <v>85</v>
      </c>
      <c r="B19">
        <f>IF(Params!$B$6="center",MOD(A19+180,360),A19)</f>
        <v/>
      </c>
      <c r="C19">
        <f>COS(RADIANS(B19))</f>
        <v/>
      </c>
      <c r="D19">
        <f>0.5*(3*C19^2-1)</f>
        <v/>
      </c>
      <c r="E19">
        <f>Params!$B$4*Params!$B$3*Params!$B$2*(3*C19^2-1)</f>
        <v/>
      </c>
      <c r="F19">
        <f>1+E19</f>
        <v/>
      </c>
      <c r="G19">
        <f>1/F19^2</f>
        <v/>
      </c>
      <c r="H19">
        <f>F19</f>
        <v/>
      </c>
      <c r="I19">
        <f>G19/AVERAGE($G$2:$G$74)</f>
        <v/>
      </c>
      <c r="J19">
        <f>H19/AVERAGE($H$2:$H$74)</f>
        <v/>
      </c>
      <c r="K19">
        <f>IF(Params!$B$5="hratio",J19,I19)</f>
        <v/>
      </c>
    </row>
    <row r="20">
      <c r="A20" t="n">
        <v>90</v>
      </c>
      <c r="B20">
        <f>IF(Params!$B$6="center",MOD(A20+180,360),A20)</f>
        <v/>
      </c>
      <c r="C20">
        <f>COS(RADIANS(B20))</f>
        <v/>
      </c>
      <c r="D20">
        <f>0.5*(3*C20^2-1)</f>
        <v/>
      </c>
      <c r="E20">
        <f>Params!$B$4*Params!$B$3*Params!$B$2*(3*C20^2-1)</f>
        <v/>
      </c>
      <c r="F20">
        <f>1+E20</f>
        <v/>
      </c>
      <c r="G20">
        <f>1/F20^2</f>
        <v/>
      </c>
      <c r="H20">
        <f>F20</f>
        <v/>
      </c>
      <c r="I20">
        <f>G20/AVERAGE($G$2:$G$74)</f>
        <v/>
      </c>
      <c r="J20">
        <f>H20/AVERAGE($H$2:$H$74)</f>
        <v/>
      </c>
      <c r="K20">
        <f>IF(Params!$B$5="hratio",J20,I20)</f>
        <v/>
      </c>
    </row>
    <row r="21">
      <c r="A21" t="n">
        <v>95</v>
      </c>
      <c r="B21">
        <f>IF(Params!$B$6="center",MOD(A21+180,360),A21)</f>
        <v/>
      </c>
      <c r="C21">
        <f>COS(RADIANS(B21))</f>
        <v/>
      </c>
      <c r="D21">
        <f>0.5*(3*C21^2-1)</f>
        <v/>
      </c>
      <c r="E21">
        <f>Params!$B$4*Params!$B$3*Params!$B$2*(3*C21^2-1)</f>
        <v/>
      </c>
      <c r="F21">
        <f>1+E21</f>
        <v/>
      </c>
      <c r="G21">
        <f>1/F21^2</f>
        <v/>
      </c>
      <c r="H21">
        <f>F21</f>
        <v/>
      </c>
      <c r="I21">
        <f>G21/AVERAGE($G$2:$G$74)</f>
        <v/>
      </c>
      <c r="J21">
        <f>H21/AVERAGE($H$2:$H$74)</f>
        <v/>
      </c>
      <c r="K21">
        <f>IF(Params!$B$5="hratio",J21,I21)</f>
        <v/>
      </c>
    </row>
    <row r="22">
      <c r="A22" t="n">
        <v>100</v>
      </c>
      <c r="B22">
        <f>IF(Params!$B$6="center",MOD(A22+180,360),A22)</f>
        <v/>
      </c>
      <c r="C22">
        <f>COS(RADIANS(B22))</f>
        <v/>
      </c>
      <c r="D22">
        <f>0.5*(3*C22^2-1)</f>
        <v/>
      </c>
      <c r="E22">
        <f>Params!$B$4*Params!$B$3*Params!$B$2*(3*C22^2-1)</f>
        <v/>
      </c>
      <c r="F22">
        <f>1+E22</f>
        <v/>
      </c>
      <c r="G22">
        <f>1/F22^2</f>
        <v/>
      </c>
      <c r="H22">
        <f>F22</f>
        <v/>
      </c>
      <c r="I22">
        <f>G22/AVERAGE($G$2:$G$74)</f>
        <v/>
      </c>
      <c r="J22">
        <f>H22/AVERAGE($H$2:$H$74)</f>
        <v/>
      </c>
      <c r="K22">
        <f>IF(Params!$B$5="hratio",J22,I22)</f>
        <v/>
      </c>
    </row>
    <row r="23">
      <c r="A23" t="n">
        <v>105</v>
      </c>
      <c r="B23">
        <f>IF(Params!$B$6="center",MOD(A23+180,360),A23)</f>
        <v/>
      </c>
      <c r="C23">
        <f>COS(RADIANS(B23))</f>
        <v/>
      </c>
      <c r="D23">
        <f>0.5*(3*C23^2-1)</f>
        <v/>
      </c>
      <c r="E23">
        <f>Params!$B$4*Params!$B$3*Params!$B$2*(3*C23^2-1)</f>
        <v/>
      </c>
      <c r="F23">
        <f>1+E23</f>
        <v/>
      </c>
      <c r="G23">
        <f>1/F23^2</f>
        <v/>
      </c>
      <c r="H23">
        <f>F23</f>
        <v/>
      </c>
      <c r="I23">
        <f>G23/AVERAGE($G$2:$G$74)</f>
        <v/>
      </c>
      <c r="J23">
        <f>H23/AVERAGE($H$2:$H$74)</f>
        <v/>
      </c>
      <c r="K23">
        <f>IF(Params!$B$5="hratio",J23,I23)</f>
        <v/>
      </c>
    </row>
    <row r="24">
      <c r="A24" t="n">
        <v>110</v>
      </c>
      <c r="B24">
        <f>IF(Params!$B$6="center",MOD(A24+180,360),A24)</f>
        <v/>
      </c>
      <c r="C24">
        <f>COS(RADIANS(B24))</f>
        <v/>
      </c>
      <c r="D24">
        <f>0.5*(3*C24^2-1)</f>
        <v/>
      </c>
      <c r="E24">
        <f>Params!$B$4*Params!$B$3*Params!$B$2*(3*C24^2-1)</f>
        <v/>
      </c>
      <c r="F24">
        <f>1+E24</f>
        <v/>
      </c>
      <c r="G24">
        <f>1/F24^2</f>
        <v/>
      </c>
      <c r="H24">
        <f>F24</f>
        <v/>
      </c>
      <c r="I24">
        <f>G24/AVERAGE($G$2:$G$74)</f>
        <v/>
      </c>
      <c r="J24">
        <f>H24/AVERAGE($H$2:$H$74)</f>
        <v/>
      </c>
      <c r="K24">
        <f>IF(Params!$B$5="hratio",J24,I24)</f>
        <v/>
      </c>
    </row>
    <row r="25">
      <c r="A25" t="n">
        <v>115</v>
      </c>
      <c r="B25">
        <f>IF(Params!$B$6="center",MOD(A25+180,360),A25)</f>
        <v/>
      </c>
      <c r="C25">
        <f>COS(RADIANS(B25))</f>
        <v/>
      </c>
      <c r="D25">
        <f>0.5*(3*C25^2-1)</f>
        <v/>
      </c>
      <c r="E25">
        <f>Params!$B$4*Params!$B$3*Params!$B$2*(3*C25^2-1)</f>
        <v/>
      </c>
      <c r="F25">
        <f>1+E25</f>
        <v/>
      </c>
      <c r="G25">
        <f>1/F25^2</f>
        <v/>
      </c>
      <c r="H25">
        <f>F25</f>
        <v/>
      </c>
      <c r="I25">
        <f>G25/AVERAGE($G$2:$G$74)</f>
        <v/>
      </c>
      <c r="J25">
        <f>H25/AVERAGE($H$2:$H$74)</f>
        <v/>
      </c>
      <c r="K25">
        <f>IF(Params!$B$5="hratio",J25,I25)</f>
        <v/>
      </c>
    </row>
    <row r="26">
      <c r="A26" t="n">
        <v>120</v>
      </c>
      <c r="B26">
        <f>IF(Params!$B$6="center",MOD(A26+180,360),A26)</f>
        <v/>
      </c>
      <c r="C26">
        <f>COS(RADIANS(B26))</f>
        <v/>
      </c>
      <c r="D26">
        <f>0.5*(3*C26^2-1)</f>
        <v/>
      </c>
      <c r="E26">
        <f>Params!$B$4*Params!$B$3*Params!$B$2*(3*C26^2-1)</f>
        <v/>
      </c>
      <c r="F26">
        <f>1+E26</f>
        <v/>
      </c>
      <c r="G26">
        <f>1/F26^2</f>
        <v/>
      </c>
      <c r="H26">
        <f>F26</f>
        <v/>
      </c>
      <c r="I26">
        <f>G26/AVERAGE($G$2:$G$74)</f>
        <v/>
      </c>
      <c r="J26">
        <f>H26/AVERAGE($H$2:$H$74)</f>
        <v/>
      </c>
      <c r="K26">
        <f>IF(Params!$B$5="hratio",J26,I26)</f>
        <v/>
      </c>
    </row>
    <row r="27">
      <c r="A27" t="n">
        <v>125</v>
      </c>
      <c r="B27">
        <f>IF(Params!$B$6="center",MOD(A27+180,360),A27)</f>
        <v/>
      </c>
      <c r="C27">
        <f>COS(RADIANS(B27))</f>
        <v/>
      </c>
      <c r="D27">
        <f>0.5*(3*C27^2-1)</f>
        <v/>
      </c>
      <c r="E27">
        <f>Params!$B$4*Params!$B$3*Params!$B$2*(3*C27^2-1)</f>
        <v/>
      </c>
      <c r="F27">
        <f>1+E27</f>
        <v/>
      </c>
      <c r="G27">
        <f>1/F27^2</f>
        <v/>
      </c>
      <c r="H27">
        <f>F27</f>
        <v/>
      </c>
      <c r="I27">
        <f>G27/AVERAGE($G$2:$G$74)</f>
        <v/>
      </c>
      <c r="J27">
        <f>H27/AVERAGE($H$2:$H$74)</f>
        <v/>
      </c>
      <c r="K27">
        <f>IF(Params!$B$5="hratio",J27,I27)</f>
        <v/>
      </c>
    </row>
    <row r="28">
      <c r="A28" t="n">
        <v>130</v>
      </c>
      <c r="B28">
        <f>IF(Params!$B$6="center",MOD(A28+180,360),A28)</f>
        <v/>
      </c>
      <c r="C28">
        <f>COS(RADIANS(B28))</f>
        <v/>
      </c>
      <c r="D28">
        <f>0.5*(3*C28^2-1)</f>
        <v/>
      </c>
      <c r="E28">
        <f>Params!$B$4*Params!$B$3*Params!$B$2*(3*C28^2-1)</f>
        <v/>
      </c>
      <c r="F28">
        <f>1+E28</f>
        <v/>
      </c>
      <c r="G28">
        <f>1/F28^2</f>
        <v/>
      </c>
      <c r="H28">
        <f>F28</f>
        <v/>
      </c>
      <c r="I28">
        <f>G28/AVERAGE($G$2:$G$74)</f>
        <v/>
      </c>
      <c r="J28">
        <f>H28/AVERAGE($H$2:$H$74)</f>
        <v/>
      </c>
      <c r="K28">
        <f>IF(Params!$B$5="hratio",J28,I28)</f>
        <v/>
      </c>
    </row>
    <row r="29">
      <c r="A29" t="n">
        <v>135</v>
      </c>
      <c r="B29">
        <f>IF(Params!$B$6="center",MOD(A29+180,360),A29)</f>
        <v/>
      </c>
      <c r="C29">
        <f>COS(RADIANS(B29))</f>
        <v/>
      </c>
      <c r="D29">
        <f>0.5*(3*C29^2-1)</f>
        <v/>
      </c>
      <c r="E29">
        <f>Params!$B$4*Params!$B$3*Params!$B$2*(3*C29^2-1)</f>
        <v/>
      </c>
      <c r="F29">
        <f>1+E29</f>
        <v/>
      </c>
      <c r="G29">
        <f>1/F29^2</f>
        <v/>
      </c>
      <c r="H29">
        <f>F29</f>
        <v/>
      </c>
      <c r="I29">
        <f>G29/AVERAGE($G$2:$G$74)</f>
        <v/>
      </c>
      <c r="J29">
        <f>H29/AVERAGE($H$2:$H$74)</f>
        <v/>
      </c>
      <c r="K29">
        <f>IF(Params!$B$5="hratio",J29,I29)</f>
        <v/>
      </c>
    </row>
    <row r="30">
      <c r="A30" t="n">
        <v>140</v>
      </c>
      <c r="B30">
        <f>IF(Params!$B$6="center",MOD(A30+180,360),A30)</f>
        <v/>
      </c>
      <c r="C30">
        <f>COS(RADIANS(B30))</f>
        <v/>
      </c>
      <c r="D30">
        <f>0.5*(3*C30^2-1)</f>
        <v/>
      </c>
      <c r="E30">
        <f>Params!$B$4*Params!$B$3*Params!$B$2*(3*C30^2-1)</f>
        <v/>
      </c>
      <c r="F30">
        <f>1+E30</f>
        <v/>
      </c>
      <c r="G30">
        <f>1/F30^2</f>
        <v/>
      </c>
      <c r="H30">
        <f>F30</f>
        <v/>
      </c>
      <c r="I30">
        <f>G30/AVERAGE($G$2:$G$74)</f>
        <v/>
      </c>
      <c r="J30">
        <f>H30/AVERAGE($H$2:$H$74)</f>
        <v/>
      </c>
      <c r="K30">
        <f>IF(Params!$B$5="hratio",J30,I30)</f>
        <v/>
      </c>
    </row>
    <row r="31">
      <c r="A31" t="n">
        <v>145</v>
      </c>
      <c r="B31">
        <f>IF(Params!$B$6="center",MOD(A31+180,360),A31)</f>
        <v/>
      </c>
      <c r="C31">
        <f>COS(RADIANS(B31))</f>
        <v/>
      </c>
      <c r="D31">
        <f>0.5*(3*C31^2-1)</f>
        <v/>
      </c>
      <c r="E31">
        <f>Params!$B$4*Params!$B$3*Params!$B$2*(3*C31^2-1)</f>
        <v/>
      </c>
      <c r="F31">
        <f>1+E31</f>
        <v/>
      </c>
      <c r="G31">
        <f>1/F31^2</f>
        <v/>
      </c>
      <c r="H31">
        <f>F31</f>
        <v/>
      </c>
      <c r="I31">
        <f>G31/AVERAGE($G$2:$G$74)</f>
        <v/>
      </c>
      <c r="J31">
        <f>H31/AVERAGE($H$2:$H$74)</f>
        <v/>
      </c>
      <c r="K31">
        <f>IF(Params!$B$5="hratio",J31,I31)</f>
        <v/>
      </c>
    </row>
    <row r="32">
      <c r="A32" t="n">
        <v>150</v>
      </c>
      <c r="B32">
        <f>IF(Params!$B$6="center",MOD(A32+180,360),A32)</f>
        <v/>
      </c>
      <c r="C32">
        <f>COS(RADIANS(B32))</f>
        <v/>
      </c>
      <c r="D32">
        <f>0.5*(3*C32^2-1)</f>
        <v/>
      </c>
      <c r="E32">
        <f>Params!$B$4*Params!$B$3*Params!$B$2*(3*C32^2-1)</f>
        <v/>
      </c>
      <c r="F32">
        <f>1+E32</f>
        <v/>
      </c>
      <c r="G32">
        <f>1/F32^2</f>
        <v/>
      </c>
      <c r="H32">
        <f>F32</f>
        <v/>
      </c>
      <c r="I32">
        <f>G32/AVERAGE($G$2:$G$74)</f>
        <v/>
      </c>
      <c r="J32">
        <f>H32/AVERAGE($H$2:$H$74)</f>
        <v/>
      </c>
      <c r="K32">
        <f>IF(Params!$B$5="hratio",J32,I32)</f>
        <v/>
      </c>
    </row>
    <row r="33">
      <c r="A33" t="n">
        <v>155</v>
      </c>
      <c r="B33">
        <f>IF(Params!$B$6="center",MOD(A33+180,360),A33)</f>
        <v/>
      </c>
      <c r="C33">
        <f>COS(RADIANS(B33))</f>
        <v/>
      </c>
      <c r="D33">
        <f>0.5*(3*C33^2-1)</f>
        <v/>
      </c>
      <c r="E33">
        <f>Params!$B$4*Params!$B$3*Params!$B$2*(3*C33^2-1)</f>
        <v/>
      </c>
      <c r="F33">
        <f>1+E33</f>
        <v/>
      </c>
      <c r="G33">
        <f>1/F33^2</f>
        <v/>
      </c>
      <c r="H33">
        <f>F33</f>
        <v/>
      </c>
      <c r="I33">
        <f>G33/AVERAGE($G$2:$G$74)</f>
        <v/>
      </c>
      <c r="J33">
        <f>H33/AVERAGE($H$2:$H$74)</f>
        <v/>
      </c>
      <c r="K33">
        <f>IF(Params!$B$5="hratio",J33,I33)</f>
        <v/>
      </c>
    </row>
    <row r="34">
      <c r="A34" t="n">
        <v>160</v>
      </c>
      <c r="B34">
        <f>IF(Params!$B$6="center",MOD(A34+180,360),A34)</f>
        <v/>
      </c>
      <c r="C34">
        <f>COS(RADIANS(B34))</f>
        <v/>
      </c>
      <c r="D34">
        <f>0.5*(3*C34^2-1)</f>
        <v/>
      </c>
      <c r="E34">
        <f>Params!$B$4*Params!$B$3*Params!$B$2*(3*C34^2-1)</f>
        <v/>
      </c>
      <c r="F34">
        <f>1+E34</f>
        <v/>
      </c>
      <c r="G34">
        <f>1/F34^2</f>
        <v/>
      </c>
      <c r="H34">
        <f>F34</f>
        <v/>
      </c>
      <c r="I34">
        <f>G34/AVERAGE($G$2:$G$74)</f>
        <v/>
      </c>
      <c r="J34">
        <f>H34/AVERAGE($H$2:$H$74)</f>
        <v/>
      </c>
      <c r="K34">
        <f>IF(Params!$B$5="hratio",J34,I34)</f>
        <v/>
      </c>
    </row>
    <row r="35">
      <c r="A35" t="n">
        <v>165</v>
      </c>
      <c r="B35">
        <f>IF(Params!$B$6="center",MOD(A35+180,360),A35)</f>
        <v/>
      </c>
      <c r="C35">
        <f>COS(RADIANS(B35))</f>
        <v/>
      </c>
      <c r="D35">
        <f>0.5*(3*C35^2-1)</f>
        <v/>
      </c>
      <c r="E35">
        <f>Params!$B$4*Params!$B$3*Params!$B$2*(3*C35^2-1)</f>
        <v/>
      </c>
      <c r="F35">
        <f>1+E35</f>
        <v/>
      </c>
      <c r="G35">
        <f>1/F35^2</f>
        <v/>
      </c>
      <c r="H35">
        <f>F35</f>
        <v/>
      </c>
      <c r="I35">
        <f>G35/AVERAGE($G$2:$G$74)</f>
        <v/>
      </c>
      <c r="J35">
        <f>H35/AVERAGE($H$2:$H$74)</f>
        <v/>
      </c>
      <c r="K35">
        <f>IF(Params!$B$5="hratio",J35,I35)</f>
        <v/>
      </c>
    </row>
    <row r="36">
      <c r="A36" t="n">
        <v>170</v>
      </c>
      <c r="B36">
        <f>IF(Params!$B$6="center",MOD(A36+180,360),A36)</f>
        <v/>
      </c>
      <c r="C36">
        <f>COS(RADIANS(B36))</f>
        <v/>
      </c>
      <c r="D36">
        <f>0.5*(3*C36^2-1)</f>
        <v/>
      </c>
      <c r="E36">
        <f>Params!$B$4*Params!$B$3*Params!$B$2*(3*C36^2-1)</f>
        <v/>
      </c>
      <c r="F36">
        <f>1+E36</f>
        <v/>
      </c>
      <c r="G36">
        <f>1/F36^2</f>
        <v/>
      </c>
      <c r="H36">
        <f>F36</f>
        <v/>
      </c>
      <c r="I36">
        <f>G36/AVERAGE($G$2:$G$74)</f>
        <v/>
      </c>
      <c r="J36">
        <f>H36/AVERAGE($H$2:$H$74)</f>
        <v/>
      </c>
      <c r="K36">
        <f>IF(Params!$B$5="hratio",J36,I36)</f>
        <v/>
      </c>
    </row>
    <row r="37">
      <c r="A37" t="n">
        <v>175</v>
      </c>
      <c r="B37">
        <f>IF(Params!$B$6="center",MOD(A37+180,360),A37)</f>
        <v/>
      </c>
      <c r="C37">
        <f>COS(RADIANS(B37))</f>
        <v/>
      </c>
      <c r="D37">
        <f>0.5*(3*C37^2-1)</f>
        <v/>
      </c>
      <c r="E37">
        <f>Params!$B$4*Params!$B$3*Params!$B$2*(3*C37^2-1)</f>
        <v/>
      </c>
      <c r="F37">
        <f>1+E37</f>
        <v/>
      </c>
      <c r="G37">
        <f>1/F37^2</f>
        <v/>
      </c>
      <c r="H37">
        <f>F37</f>
        <v/>
      </c>
      <c r="I37">
        <f>G37/AVERAGE($G$2:$G$74)</f>
        <v/>
      </c>
      <c r="J37">
        <f>H37/AVERAGE($H$2:$H$74)</f>
        <v/>
      </c>
      <c r="K37">
        <f>IF(Params!$B$5="hratio",J37,I37)</f>
        <v/>
      </c>
    </row>
    <row r="38">
      <c r="A38" t="n">
        <v>180</v>
      </c>
      <c r="B38">
        <f>IF(Params!$B$6="center",MOD(A38+180,360),A38)</f>
        <v/>
      </c>
      <c r="C38">
        <f>COS(RADIANS(B38))</f>
        <v/>
      </c>
      <c r="D38">
        <f>0.5*(3*C38^2-1)</f>
        <v/>
      </c>
      <c r="E38">
        <f>Params!$B$4*Params!$B$3*Params!$B$2*(3*C38^2-1)</f>
        <v/>
      </c>
      <c r="F38">
        <f>1+E38</f>
        <v/>
      </c>
      <c r="G38">
        <f>1/F38^2</f>
        <v/>
      </c>
      <c r="H38">
        <f>F38</f>
        <v/>
      </c>
      <c r="I38">
        <f>G38/AVERAGE($G$2:$G$74)</f>
        <v/>
      </c>
      <c r="J38">
        <f>H38/AVERAGE($H$2:$H$74)</f>
        <v/>
      </c>
      <c r="K38">
        <f>IF(Params!$B$5="hratio",J38,I38)</f>
        <v/>
      </c>
    </row>
    <row r="39">
      <c r="A39" t="n">
        <v>185</v>
      </c>
      <c r="B39">
        <f>IF(Params!$B$6="center",MOD(A39+180,360),A39)</f>
        <v/>
      </c>
      <c r="C39">
        <f>COS(RADIANS(B39))</f>
        <v/>
      </c>
      <c r="D39">
        <f>0.5*(3*C39^2-1)</f>
        <v/>
      </c>
      <c r="E39">
        <f>Params!$B$4*Params!$B$3*Params!$B$2*(3*C39^2-1)</f>
        <v/>
      </c>
      <c r="F39">
        <f>1+E39</f>
        <v/>
      </c>
      <c r="G39">
        <f>1/F39^2</f>
        <v/>
      </c>
      <c r="H39">
        <f>F39</f>
        <v/>
      </c>
      <c r="I39">
        <f>G39/AVERAGE($G$2:$G$74)</f>
        <v/>
      </c>
      <c r="J39">
        <f>H39/AVERAGE($H$2:$H$74)</f>
        <v/>
      </c>
      <c r="K39">
        <f>IF(Params!$B$5="hratio",J39,I39)</f>
        <v/>
      </c>
    </row>
    <row r="40">
      <c r="A40" t="n">
        <v>190</v>
      </c>
      <c r="B40">
        <f>IF(Params!$B$6="center",MOD(A40+180,360),A40)</f>
        <v/>
      </c>
      <c r="C40">
        <f>COS(RADIANS(B40))</f>
        <v/>
      </c>
      <c r="D40">
        <f>0.5*(3*C40^2-1)</f>
        <v/>
      </c>
      <c r="E40">
        <f>Params!$B$4*Params!$B$3*Params!$B$2*(3*C40^2-1)</f>
        <v/>
      </c>
      <c r="F40">
        <f>1+E40</f>
        <v/>
      </c>
      <c r="G40">
        <f>1/F40^2</f>
        <v/>
      </c>
      <c r="H40">
        <f>F40</f>
        <v/>
      </c>
      <c r="I40">
        <f>G40/AVERAGE($G$2:$G$74)</f>
        <v/>
      </c>
      <c r="J40">
        <f>H40/AVERAGE($H$2:$H$74)</f>
        <v/>
      </c>
      <c r="K40">
        <f>IF(Params!$B$5="hratio",J40,I40)</f>
        <v/>
      </c>
    </row>
    <row r="41">
      <c r="A41" t="n">
        <v>195</v>
      </c>
      <c r="B41">
        <f>IF(Params!$B$6="center",MOD(A41+180,360),A41)</f>
        <v/>
      </c>
      <c r="C41">
        <f>COS(RADIANS(B41))</f>
        <v/>
      </c>
      <c r="D41">
        <f>0.5*(3*C41^2-1)</f>
        <v/>
      </c>
      <c r="E41">
        <f>Params!$B$4*Params!$B$3*Params!$B$2*(3*C41^2-1)</f>
        <v/>
      </c>
      <c r="F41">
        <f>1+E41</f>
        <v/>
      </c>
      <c r="G41">
        <f>1/F41^2</f>
        <v/>
      </c>
      <c r="H41">
        <f>F41</f>
        <v/>
      </c>
      <c r="I41">
        <f>G41/AVERAGE($G$2:$G$74)</f>
        <v/>
      </c>
      <c r="J41">
        <f>H41/AVERAGE($H$2:$H$74)</f>
        <v/>
      </c>
      <c r="K41">
        <f>IF(Params!$B$5="hratio",J41,I41)</f>
        <v/>
      </c>
    </row>
    <row r="42">
      <c r="A42" t="n">
        <v>200</v>
      </c>
      <c r="B42">
        <f>IF(Params!$B$6="center",MOD(A42+180,360),A42)</f>
        <v/>
      </c>
      <c r="C42">
        <f>COS(RADIANS(B42))</f>
        <v/>
      </c>
      <c r="D42">
        <f>0.5*(3*C42^2-1)</f>
        <v/>
      </c>
      <c r="E42">
        <f>Params!$B$4*Params!$B$3*Params!$B$2*(3*C42^2-1)</f>
        <v/>
      </c>
      <c r="F42">
        <f>1+E42</f>
        <v/>
      </c>
      <c r="G42">
        <f>1/F42^2</f>
        <v/>
      </c>
      <c r="H42">
        <f>F42</f>
        <v/>
      </c>
      <c r="I42">
        <f>G42/AVERAGE($G$2:$G$74)</f>
        <v/>
      </c>
      <c r="J42">
        <f>H42/AVERAGE($H$2:$H$74)</f>
        <v/>
      </c>
      <c r="K42">
        <f>IF(Params!$B$5="hratio",J42,I42)</f>
        <v/>
      </c>
    </row>
    <row r="43">
      <c r="A43" t="n">
        <v>205</v>
      </c>
      <c r="B43">
        <f>IF(Params!$B$6="center",MOD(A43+180,360),A43)</f>
        <v/>
      </c>
      <c r="C43">
        <f>COS(RADIANS(B43))</f>
        <v/>
      </c>
      <c r="D43">
        <f>0.5*(3*C43^2-1)</f>
        <v/>
      </c>
      <c r="E43">
        <f>Params!$B$4*Params!$B$3*Params!$B$2*(3*C43^2-1)</f>
        <v/>
      </c>
      <c r="F43">
        <f>1+E43</f>
        <v/>
      </c>
      <c r="G43">
        <f>1/F43^2</f>
        <v/>
      </c>
      <c r="H43">
        <f>F43</f>
        <v/>
      </c>
      <c r="I43">
        <f>G43/AVERAGE($G$2:$G$74)</f>
        <v/>
      </c>
      <c r="J43">
        <f>H43/AVERAGE($H$2:$H$74)</f>
        <v/>
      </c>
      <c r="K43">
        <f>IF(Params!$B$5="hratio",J43,I43)</f>
        <v/>
      </c>
    </row>
    <row r="44">
      <c r="A44" t="n">
        <v>210</v>
      </c>
      <c r="B44">
        <f>IF(Params!$B$6="center",MOD(A44+180,360),A44)</f>
        <v/>
      </c>
      <c r="C44">
        <f>COS(RADIANS(B44))</f>
        <v/>
      </c>
      <c r="D44">
        <f>0.5*(3*C44^2-1)</f>
        <v/>
      </c>
      <c r="E44">
        <f>Params!$B$4*Params!$B$3*Params!$B$2*(3*C44^2-1)</f>
        <v/>
      </c>
      <c r="F44">
        <f>1+E44</f>
        <v/>
      </c>
      <c r="G44">
        <f>1/F44^2</f>
        <v/>
      </c>
      <c r="H44">
        <f>F44</f>
        <v/>
      </c>
      <c r="I44">
        <f>G44/AVERAGE($G$2:$G$74)</f>
        <v/>
      </c>
      <c r="J44">
        <f>H44/AVERAGE($H$2:$H$74)</f>
        <v/>
      </c>
      <c r="K44">
        <f>IF(Params!$B$5="hratio",J44,I44)</f>
        <v/>
      </c>
    </row>
    <row r="45">
      <c r="A45" t="n">
        <v>215</v>
      </c>
      <c r="B45">
        <f>IF(Params!$B$6="center",MOD(A45+180,360),A45)</f>
        <v/>
      </c>
      <c r="C45">
        <f>COS(RADIANS(B45))</f>
        <v/>
      </c>
      <c r="D45">
        <f>0.5*(3*C45^2-1)</f>
        <v/>
      </c>
      <c r="E45">
        <f>Params!$B$4*Params!$B$3*Params!$B$2*(3*C45^2-1)</f>
        <v/>
      </c>
      <c r="F45">
        <f>1+E45</f>
        <v/>
      </c>
      <c r="G45">
        <f>1/F45^2</f>
        <v/>
      </c>
      <c r="H45">
        <f>F45</f>
        <v/>
      </c>
      <c r="I45">
        <f>G45/AVERAGE($G$2:$G$74)</f>
        <v/>
      </c>
      <c r="J45">
        <f>H45/AVERAGE($H$2:$H$74)</f>
        <v/>
      </c>
      <c r="K45">
        <f>IF(Params!$B$5="hratio",J45,I45)</f>
        <v/>
      </c>
    </row>
    <row r="46">
      <c r="A46" t="n">
        <v>220</v>
      </c>
      <c r="B46">
        <f>IF(Params!$B$6="center",MOD(A46+180,360),A46)</f>
        <v/>
      </c>
      <c r="C46">
        <f>COS(RADIANS(B46))</f>
        <v/>
      </c>
      <c r="D46">
        <f>0.5*(3*C46^2-1)</f>
        <v/>
      </c>
      <c r="E46">
        <f>Params!$B$4*Params!$B$3*Params!$B$2*(3*C46^2-1)</f>
        <v/>
      </c>
      <c r="F46">
        <f>1+E46</f>
        <v/>
      </c>
      <c r="G46">
        <f>1/F46^2</f>
        <v/>
      </c>
      <c r="H46">
        <f>F46</f>
        <v/>
      </c>
      <c r="I46">
        <f>G46/AVERAGE($G$2:$G$74)</f>
        <v/>
      </c>
      <c r="J46">
        <f>H46/AVERAGE($H$2:$H$74)</f>
        <v/>
      </c>
      <c r="K46">
        <f>IF(Params!$B$5="hratio",J46,I46)</f>
        <v/>
      </c>
    </row>
    <row r="47">
      <c r="A47" t="n">
        <v>225</v>
      </c>
      <c r="B47">
        <f>IF(Params!$B$6="center",MOD(A47+180,360),A47)</f>
        <v/>
      </c>
      <c r="C47">
        <f>COS(RADIANS(B47))</f>
        <v/>
      </c>
      <c r="D47">
        <f>0.5*(3*C47^2-1)</f>
        <v/>
      </c>
      <c r="E47">
        <f>Params!$B$4*Params!$B$3*Params!$B$2*(3*C47^2-1)</f>
        <v/>
      </c>
      <c r="F47">
        <f>1+E47</f>
        <v/>
      </c>
      <c r="G47">
        <f>1/F47^2</f>
        <v/>
      </c>
      <c r="H47">
        <f>F47</f>
        <v/>
      </c>
      <c r="I47">
        <f>G47/AVERAGE($G$2:$G$74)</f>
        <v/>
      </c>
      <c r="J47">
        <f>H47/AVERAGE($H$2:$H$74)</f>
        <v/>
      </c>
      <c r="K47">
        <f>IF(Params!$B$5="hratio",J47,I47)</f>
        <v/>
      </c>
    </row>
    <row r="48">
      <c r="A48" t="n">
        <v>230</v>
      </c>
      <c r="B48">
        <f>IF(Params!$B$6="center",MOD(A48+180,360),A48)</f>
        <v/>
      </c>
      <c r="C48">
        <f>COS(RADIANS(B48))</f>
        <v/>
      </c>
      <c r="D48">
        <f>0.5*(3*C48^2-1)</f>
        <v/>
      </c>
      <c r="E48">
        <f>Params!$B$4*Params!$B$3*Params!$B$2*(3*C48^2-1)</f>
        <v/>
      </c>
      <c r="F48">
        <f>1+E48</f>
        <v/>
      </c>
      <c r="G48">
        <f>1/F48^2</f>
        <v/>
      </c>
      <c r="H48">
        <f>F48</f>
        <v/>
      </c>
      <c r="I48">
        <f>G48/AVERAGE($G$2:$G$74)</f>
        <v/>
      </c>
      <c r="J48">
        <f>H48/AVERAGE($H$2:$H$74)</f>
        <v/>
      </c>
      <c r="K48">
        <f>IF(Params!$B$5="hratio",J48,I48)</f>
        <v/>
      </c>
    </row>
    <row r="49">
      <c r="A49" t="n">
        <v>235</v>
      </c>
      <c r="B49">
        <f>IF(Params!$B$6="center",MOD(A49+180,360),A49)</f>
        <v/>
      </c>
      <c r="C49">
        <f>COS(RADIANS(B49))</f>
        <v/>
      </c>
      <c r="D49">
        <f>0.5*(3*C49^2-1)</f>
        <v/>
      </c>
      <c r="E49">
        <f>Params!$B$4*Params!$B$3*Params!$B$2*(3*C49^2-1)</f>
        <v/>
      </c>
      <c r="F49">
        <f>1+E49</f>
        <v/>
      </c>
      <c r="G49">
        <f>1/F49^2</f>
        <v/>
      </c>
      <c r="H49">
        <f>F49</f>
        <v/>
      </c>
      <c r="I49">
        <f>G49/AVERAGE($G$2:$G$74)</f>
        <v/>
      </c>
      <c r="J49">
        <f>H49/AVERAGE($H$2:$H$74)</f>
        <v/>
      </c>
      <c r="K49">
        <f>IF(Params!$B$5="hratio",J49,I49)</f>
        <v/>
      </c>
    </row>
    <row r="50">
      <c r="A50" t="n">
        <v>240</v>
      </c>
      <c r="B50">
        <f>IF(Params!$B$6="center",MOD(A50+180,360),A50)</f>
        <v/>
      </c>
      <c r="C50">
        <f>COS(RADIANS(B50))</f>
        <v/>
      </c>
      <c r="D50">
        <f>0.5*(3*C50^2-1)</f>
        <v/>
      </c>
      <c r="E50">
        <f>Params!$B$4*Params!$B$3*Params!$B$2*(3*C50^2-1)</f>
        <v/>
      </c>
      <c r="F50">
        <f>1+E50</f>
        <v/>
      </c>
      <c r="G50">
        <f>1/F50^2</f>
        <v/>
      </c>
      <c r="H50">
        <f>F50</f>
        <v/>
      </c>
      <c r="I50">
        <f>G50/AVERAGE($G$2:$G$74)</f>
        <v/>
      </c>
      <c r="J50">
        <f>H50/AVERAGE($H$2:$H$74)</f>
        <v/>
      </c>
      <c r="K50">
        <f>IF(Params!$B$5="hratio",J50,I50)</f>
        <v/>
      </c>
    </row>
    <row r="51">
      <c r="A51" t="n">
        <v>245</v>
      </c>
      <c r="B51">
        <f>IF(Params!$B$6="center",MOD(A51+180,360),A51)</f>
        <v/>
      </c>
      <c r="C51">
        <f>COS(RADIANS(B51))</f>
        <v/>
      </c>
      <c r="D51">
        <f>0.5*(3*C51^2-1)</f>
        <v/>
      </c>
      <c r="E51">
        <f>Params!$B$4*Params!$B$3*Params!$B$2*(3*C51^2-1)</f>
        <v/>
      </c>
      <c r="F51">
        <f>1+E51</f>
        <v/>
      </c>
      <c r="G51">
        <f>1/F51^2</f>
        <v/>
      </c>
      <c r="H51">
        <f>F51</f>
        <v/>
      </c>
      <c r="I51">
        <f>G51/AVERAGE($G$2:$G$74)</f>
        <v/>
      </c>
      <c r="J51">
        <f>H51/AVERAGE($H$2:$H$74)</f>
        <v/>
      </c>
      <c r="K51">
        <f>IF(Params!$B$5="hratio",J51,I51)</f>
        <v/>
      </c>
    </row>
    <row r="52">
      <c r="A52" t="n">
        <v>250</v>
      </c>
      <c r="B52">
        <f>IF(Params!$B$6="center",MOD(A52+180,360),A52)</f>
        <v/>
      </c>
      <c r="C52">
        <f>COS(RADIANS(B52))</f>
        <v/>
      </c>
      <c r="D52">
        <f>0.5*(3*C52^2-1)</f>
        <v/>
      </c>
      <c r="E52">
        <f>Params!$B$4*Params!$B$3*Params!$B$2*(3*C52^2-1)</f>
        <v/>
      </c>
      <c r="F52">
        <f>1+E52</f>
        <v/>
      </c>
      <c r="G52">
        <f>1/F52^2</f>
        <v/>
      </c>
      <c r="H52">
        <f>F52</f>
        <v/>
      </c>
      <c r="I52">
        <f>G52/AVERAGE($G$2:$G$74)</f>
        <v/>
      </c>
      <c r="J52">
        <f>H52/AVERAGE($H$2:$H$74)</f>
        <v/>
      </c>
      <c r="K52">
        <f>IF(Params!$B$5="hratio",J52,I52)</f>
        <v/>
      </c>
    </row>
    <row r="53">
      <c r="A53" t="n">
        <v>255</v>
      </c>
      <c r="B53">
        <f>IF(Params!$B$6="center",MOD(A53+180,360),A53)</f>
        <v/>
      </c>
      <c r="C53">
        <f>COS(RADIANS(B53))</f>
        <v/>
      </c>
      <c r="D53">
        <f>0.5*(3*C53^2-1)</f>
        <v/>
      </c>
      <c r="E53">
        <f>Params!$B$4*Params!$B$3*Params!$B$2*(3*C53^2-1)</f>
        <v/>
      </c>
      <c r="F53">
        <f>1+E53</f>
        <v/>
      </c>
      <c r="G53">
        <f>1/F53^2</f>
        <v/>
      </c>
      <c r="H53">
        <f>F53</f>
        <v/>
      </c>
      <c r="I53">
        <f>G53/AVERAGE($G$2:$G$74)</f>
        <v/>
      </c>
      <c r="J53">
        <f>H53/AVERAGE($H$2:$H$74)</f>
        <v/>
      </c>
      <c r="K53">
        <f>IF(Params!$B$5="hratio",J53,I53)</f>
        <v/>
      </c>
    </row>
    <row r="54">
      <c r="A54" t="n">
        <v>260</v>
      </c>
      <c r="B54">
        <f>IF(Params!$B$6="center",MOD(A54+180,360),A54)</f>
        <v/>
      </c>
      <c r="C54">
        <f>COS(RADIANS(B54))</f>
        <v/>
      </c>
      <c r="D54">
        <f>0.5*(3*C54^2-1)</f>
        <v/>
      </c>
      <c r="E54">
        <f>Params!$B$4*Params!$B$3*Params!$B$2*(3*C54^2-1)</f>
        <v/>
      </c>
      <c r="F54">
        <f>1+E54</f>
        <v/>
      </c>
      <c r="G54">
        <f>1/F54^2</f>
        <v/>
      </c>
      <c r="H54">
        <f>F54</f>
        <v/>
      </c>
      <c r="I54">
        <f>G54/AVERAGE($G$2:$G$74)</f>
        <v/>
      </c>
      <c r="J54">
        <f>H54/AVERAGE($H$2:$H$74)</f>
        <v/>
      </c>
      <c r="K54">
        <f>IF(Params!$B$5="hratio",J54,I54)</f>
        <v/>
      </c>
    </row>
    <row r="55">
      <c r="A55" t="n">
        <v>265</v>
      </c>
      <c r="B55">
        <f>IF(Params!$B$6="center",MOD(A55+180,360),A55)</f>
        <v/>
      </c>
      <c r="C55">
        <f>COS(RADIANS(B55))</f>
        <v/>
      </c>
      <c r="D55">
        <f>0.5*(3*C55^2-1)</f>
        <v/>
      </c>
      <c r="E55">
        <f>Params!$B$4*Params!$B$3*Params!$B$2*(3*C55^2-1)</f>
        <v/>
      </c>
      <c r="F55">
        <f>1+E55</f>
        <v/>
      </c>
      <c r="G55">
        <f>1/F55^2</f>
        <v/>
      </c>
      <c r="H55">
        <f>F55</f>
        <v/>
      </c>
      <c r="I55">
        <f>G55/AVERAGE($G$2:$G$74)</f>
        <v/>
      </c>
      <c r="J55">
        <f>H55/AVERAGE($H$2:$H$74)</f>
        <v/>
      </c>
      <c r="K55">
        <f>IF(Params!$B$5="hratio",J55,I55)</f>
        <v/>
      </c>
    </row>
    <row r="56">
      <c r="A56" t="n">
        <v>270</v>
      </c>
      <c r="B56">
        <f>IF(Params!$B$6="center",MOD(A56+180,360),A56)</f>
        <v/>
      </c>
      <c r="C56">
        <f>COS(RADIANS(B56))</f>
        <v/>
      </c>
      <c r="D56">
        <f>0.5*(3*C56^2-1)</f>
        <v/>
      </c>
      <c r="E56">
        <f>Params!$B$4*Params!$B$3*Params!$B$2*(3*C56^2-1)</f>
        <v/>
      </c>
      <c r="F56">
        <f>1+E56</f>
        <v/>
      </c>
      <c r="G56">
        <f>1/F56^2</f>
        <v/>
      </c>
      <c r="H56">
        <f>F56</f>
        <v/>
      </c>
      <c r="I56">
        <f>G56/AVERAGE($G$2:$G$74)</f>
        <v/>
      </c>
      <c r="J56">
        <f>H56/AVERAGE($H$2:$H$74)</f>
        <v/>
      </c>
      <c r="K56">
        <f>IF(Params!$B$5="hratio",J56,I56)</f>
        <v/>
      </c>
    </row>
    <row r="57">
      <c r="A57" t="n">
        <v>275</v>
      </c>
      <c r="B57">
        <f>IF(Params!$B$6="center",MOD(A57+180,360),A57)</f>
        <v/>
      </c>
      <c r="C57">
        <f>COS(RADIANS(B57))</f>
        <v/>
      </c>
      <c r="D57">
        <f>0.5*(3*C57^2-1)</f>
        <v/>
      </c>
      <c r="E57">
        <f>Params!$B$4*Params!$B$3*Params!$B$2*(3*C57^2-1)</f>
        <v/>
      </c>
      <c r="F57">
        <f>1+E57</f>
        <v/>
      </c>
      <c r="G57">
        <f>1/F57^2</f>
        <v/>
      </c>
      <c r="H57">
        <f>F57</f>
        <v/>
      </c>
      <c r="I57">
        <f>G57/AVERAGE($G$2:$G$74)</f>
        <v/>
      </c>
      <c r="J57">
        <f>H57/AVERAGE($H$2:$H$74)</f>
        <v/>
      </c>
      <c r="K57">
        <f>IF(Params!$B$5="hratio",J57,I57)</f>
        <v/>
      </c>
    </row>
    <row r="58">
      <c r="A58" t="n">
        <v>280</v>
      </c>
      <c r="B58">
        <f>IF(Params!$B$6="center",MOD(A58+180,360),A58)</f>
        <v/>
      </c>
      <c r="C58">
        <f>COS(RADIANS(B58))</f>
        <v/>
      </c>
      <c r="D58">
        <f>0.5*(3*C58^2-1)</f>
        <v/>
      </c>
      <c r="E58">
        <f>Params!$B$4*Params!$B$3*Params!$B$2*(3*C58^2-1)</f>
        <v/>
      </c>
      <c r="F58">
        <f>1+E58</f>
        <v/>
      </c>
      <c r="G58">
        <f>1/F58^2</f>
        <v/>
      </c>
      <c r="H58">
        <f>F58</f>
        <v/>
      </c>
      <c r="I58">
        <f>G58/AVERAGE($G$2:$G$74)</f>
        <v/>
      </c>
      <c r="J58">
        <f>H58/AVERAGE($H$2:$H$74)</f>
        <v/>
      </c>
      <c r="K58">
        <f>IF(Params!$B$5="hratio",J58,I58)</f>
        <v/>
      </c>
    </row>
    <row r="59">
      <c r="A59" t="n">
        <v>285</v>
      </c>
      <c r="B59">
        <f>IF(Params!$B$6="center",MOD(A59+180,360),A59)</f>
        <v/>
      </c>
      <c r="C59">
        <f>COS(RADIANS(B59))</f>
        <v/>
      </c>
      <c r="D59">
        <f>0.5*(3*C59^2-1)</f>
        <v/>
      </c>
      <c r="E59">
        <f>Params!$B$4*Params!$B$3*Params!$B$2*(3*C59^2-1)</f>
        <v/>
      </c>
      <c r="F59">
        <f>1+E59</f>
        <v/>
      </c>
      <c r="G59">
        <f>1/F59^2</f>
        <v/>
      </c>
      <c r="H59">
        <f>F59</f>
        <v/>
      </c>
      <c r="I59">
        <f>G59/AVERAGE($G$2:$G$74)</f>
        <v/>
      </c>
      <c r="J59">
        <f>H59/AVERAGE($H$2:$H$74)</f>
        <v/>
      </c>
      <c r="K59">
        <f>IF(Params!$B$5="hratio",J59,I59)</f>
        <v/>
      </c>
    </row>
    <row r="60">
      <c r="A60" t="n">
        <v>290</v>
      </c>
      <c r="B60">
        <f>IF(Params!$B$6="center",MOD(A60+180,360),A60)</f>
        <v/>
      </c>
      <c r="C60">
        <f>COS(RADIANS(B60))</f>
        <v/>
      </c>
      <c r="D60">
        <f>0.5*(3*C60^2-1)</f>
        <v/>
      </c>
      <c r="E60">
        <f>Params!$B$4*Params!$B$3*Params!$B$2*(3*C60^2-1)</f>
        <v/>
      </c>
      <c r="F60">
        <f>1+E60</f>
        <v/>
      </c>
      <c r="G60">
        <f>1/F60^2</f>
        <v/>
      </c>
      <c r="H60">
        <f>F60</f>
        <v/>
      </c>
      <c r="I60">
        <f>G60/AVERAGE($G$2:$G$74)</f>
        <v/>
      </c>
      <c r="J60">
        <f>H60/AVERAGE($H$2:$H$74)</f>
        <v/>
      </c>
      <c r="K60">
        <f>IF(Params!$B$5="hratio",J60,I60)</f>
        <v/>
      </c>
    </row>
    <row r="61">
      <c r="A61" t="n">
        <v>295</v>
      </c>
      <c r="B61">
        <f>IF(Params!$B$6="center",MOD(A61+180,360),A61)</f>
        <v/>
      </c>
      <c r="C61">
        <f>COS(RADIANS(B61))</f>
        <v/>
      </c>
      <c r="D61">
        <f>0.5*(3*C61^2-1)</f>
        <v/>
      </c>
      <c r="E61">
        <f>Params!$B$4*Params!$B$3*Params!$B$2*(3*C61^2-1)</f>
        <v/>
      </c>
      <c r="F61">
        <f>1+E61</f>
        <v/>
      </c>
      <c r="G61">
        <f>1/F61^2</f>
        <v/>
      </c>
      <c r="H61">
        <f>F61</f>
        <v/>
      </c>
      <c r="I61">
        <f>G61/AVERAGE($G$2:$G$74)</f>
        <v/>
      </c>
      <c r="J61">
        <f>H61/AVERAGE($H$2:$H$74)</f>
        <v/>
      </c>
      <c r="K61">
        <f>IF(Params!$B$5="hratio",J61,I61)</f>
        <v/>
      </c>
    </row>
    <row r="62">
      <c r="A62" t="n">
        <v>300</v>
      </c>
      <c r="B62">
        <f>IF(Params!$B$6="center",MOD(A62+180,360),A62)</f>
        <v/>
      </c>
      <c r="C62">
        <f>COS(RADIANS(B62))</f>
        <v/>
      </c>
      <c r="D62">
        <f>0.5*(3*C62^2-1)</f>
        <v/>
      </c>
      <c r="E62">
        <f>Params!$B$4*Params!$B$3*Params!$B$2*(3*C62^2-1)</f>
        <v/>
      </c>
      <c r="F62">
        <f>1+E62</f>
        <v/>
      </c>
      <c r="G62">
        <f>1/F62^2</f>
        <v/>
      </c>
      <c r="H62">
        <f>F62</f>
        <v/>
      </c>
      <c r="I62">
        <f>G62/AVERAGE($G$2:$G$74)</f>
        <v/>
      </c>
      <c r="J62">
        <f>H62/AVERAGE($H$2:$H$74)</f>
        <v/>
      </c>
      <c r="K62">
        <f>IF(Params!$B$5="hratio",J62,I62)</f>
        <v/>
      </c>
    </row>
    <row r="63">
      <c r="A63" t="n">
        <v>305</v>
      </c>
      <c r="B63">
        <f>IF(Params!$B$6="center",MOD(A63+180,360),A63)</f>
        <v/>
      </c>
      <c r="C63">
        <f>COS(RADIANS(B63))</f>
        <v/>
      </c>
      <c r="D63">
        <f>0.5*(3*C63^2-1)</f>
        <v/>
      </c>
      <c r="E63">
        <f>Params!$B$4*Params!$B$3*Params!$B$2*(3*C63^2-1)</f>
        <v/>
      </c>
      <c r="F63">
        <f>1+E63</f>
        <v/>
      </c>
      <c r="G63">
        <f>1/F63^2</f>
        <v/>
      </c>
      <c r="H63">
        <f>F63</f>
        <v/>
      </c>
      <c r="I63">
        <f>G63/AVERAGE($G$2:$G$74)</f>
        <v/>
      </c>
      <c r="J63">
        <f>H63/AVERAGE($H$2:$H$74)</f>
        <v/>
      </c>
      <c r="K63">
        <f>IF(Params!$B$5="hratio",J63,I63)</f>
        <v/>
      </c>
    </row>
    <row r="64">
      <c r="A64" t="n">
        <v>310</v>
      </c>
      <c r="B64">
        <f>IF(Params!$B$6="center",MOD(A64+180,360),A64)</f>
        <v/>
      </c>
      <c r="C64">
        <f>COS(RADIANS(B64))</f>
        <v/>
      </c>
      <c r="D64">
        <f>0.5*(3*C64^2-1)</f>
        <v/>
      </c>
      <c r="E64">
        <f>Params!$B$4*Params!$B$3*Params!$B$2*(3*C64^2-1)</f>
        <v/>
      </c>
      <c r="F64">
        <f>1+E64</f>
        <v/>
      </c>
      <c r="G64">
        <f>1/F64^2</f>
        <v/>
      </c>
      <c r="H64">
        <f>F64</f>
        <v/>
      </c>
      <c r="I64">
        <f>G64/AVERAGE($G$2:$G$74)</f>
        <v/>
      </c>
      <c r="J64">
        <f>H64/AVERAGE($H$2:$H$74)</f>
        <v/>
      </c>
      <c r="K64">
        <f>IF(Params!$B$5="hratio",J64,I64)</f>
        <v/>
      </c>
    </row>
    <row r="65">
      <c r="A65" t="n">
        <v>315</v>
      </c>
      <c r="B65">
        <f>IF(Params!$B$6="center",MOD(A65+180,360),A65)</f>
        <v/>
      </c>
      <c r="C65">
        <f>COS(RADIANS(B65))</f>
        <v/>
      </c>
      <c r="D65">
        <f>0.5*(3*C65^2-1)</f>
        <v/>
      </c>
      <c r="E65">
        <f>Params!$B$4*Params!$B$3*Params!$B$2*(3*C65^2-1)</f>
        <v/>
      </c>
      <c r="F65">
        <f>1+E65</f>
        <v/>
      </c>
      <c r="G65">
        <f>1/F65^2</f>
        <v/>
      </c>
      <c r="H65">
        <f>F65</f>
        <v/>
      </c>
      <c r="I65">
        <f>G65/AVERAGE($G$2:$G$74)</f>
        <v/>
      </c>
      <c r="J65">
        <f>H65/AVERAGE($H$2:$H$74)</f>
        <v/>
      </c>
      <c r="K65">
        <f>IF(Params!$B$5="hratio",J65,I65)</f>
        <v/>
      </c>
    </row>
    <row r="66">
      <c r="A66" t="n">
        <v>320</v>
      </c>
      <c r="B66">
        <f>IF(Params!$B$6="center",MOD(A66+180,360),A66)</f>
        <v/>
      </c>
      <c r="C66">
        <f>COS(RADIANS(B66))</f>
        <v/>
      </c>
      <c r="D66">
        <f>0.5*(3*C66^2-1)</f>
        <v/>
      </c>
      <c r="E66">
        <f>Params!$B$4*Params!$B$3*Params!$B$2*(3*C66^2-1)</f>
        <v/>
      </c>
      <c r="F66">
        <f>1+E66</f>
        <v/>
      </c>
      <c r="G66">
        <f>1/F66^2</f>
        <v/>
      </c>
      <c r="H66">
        <f>F66</f>
        <v/>
      </c>
      <c r="I66">
        <f>G66/AVERAGE($G$2:$G$74)</f>
        <v/>
      </c>
      <c r="J66">
        <f>H66/AVERAGE($H$2:$H$74)</f>
        <v/>
      </c>
      <c r="K66">
        <f>IF(Params!$B$5="hratio",J66,I66)</f>
        <v/>
      </c>
    </row>
    <row r="67">
      <c r="A67" t="n">
        <v>325</v>
      </c>
      <c r="B67">
        <f>IF(Params!$B$6="center",MOD(A67+180,360),A67)</f>
        <v/>
      </c>
      <c r="C67">
        <f>COS(RADIANS(B67))</f>
        <v/>
      </c>
      <c r="D67">
        <f>0.5*(3*C67^2-1)</f>
        <v/>
      </c>
      <c r="E67">
        <f>Params!$B$4*Params!$B$3*Params!$B$2*(3*C67^2-1)</f>
        <v/>
      </c>
      <c r="F67">
        <f>1+E67</f>
        <v/>
      </c>
      <c r="G67">
        <f>1/F67^2</f>
        <v/>
      </c>
      <c r="H67">
        <f>F67</f>
        <v/>
      </c>
      <c r="I67">
        <f>G67/AVERAGE($G$2:$G$74)</f>
        <v/>
      </c>
      <c r="J67">
        <f>H67/AVERAGE($H$2:$H$74)</f>
        <v/>
      </c>
      <c r="K67">
        <f>IF(Params!$B$5="hratio",J67,I67)</f>
        <v/>
      </c>
    </row>
    <row r="68">
      <c r="A68" t="n">
        <v>330</v>
      </c>
      <c r="B68">
        <f>IF(Params!$B$6="center",MOD(A68+180,360),A68)</f>
        <v/>
      </c>
      <c r="C68">
        <f>COS(RADIANS(B68))</f>
        <v/>
      </c>
      <c r="D68">
        <f>0.5*(3*C68^2-1)</f>
        <v/>
      </c>
      <c r="E68">
        <f>Params!$B$4*Params!$B$3*Params!$B$2*(3*C68^2-1)</f>
        <v/>
      </c>
      <c r="F68">
        <f>1+E68</f>
        <v/>
      </c>
      <c r="G68">
        <f>1/F68^2</f>
        <v/>
      </c>
      <c r="H68">
        <f>F68</f>
        <v/>
      </c>
      <c r="I68">
        <f>G68/AVERAGE($G$2:$G$74)</f>
        <v/>
      </c>
      <c r="J68">
        <f>H68/AVERAGE($H$2:$H$74)</f>
        <v/>
      </c>
      <c r="K68">
        <f>IF(Params!$B$5="hratio",J68,I68)</f>
        <v/>
      </c>
    </row>
    <row r="69">
      <c r="A69" t="n">
        <v>335</v>
      </c>
      <c r="B69">
        <f>IF(Params!$B$6="center",MOD(A69+180,360),A69)</f>
        <v/>
      </c>
      <c r="C69">
        <f>COS(RADIANS(B69))</f>
        <v/>
      </c>
      <c r="D69">
        <f>0.5*(3*C69^2-1)</f>
        <v/>
      </c>
      <c r="E69">
        <f>Params!$B$4*Params!$B$3*Params!$B$2*(3*C69^2-1)</f>
        <v/>
      </c>
      <c r="F69">
        <f>1+E69</f>
        <v/>
      </c>
      <c r="G69">
        <f>1/F69^2</f>
        <v/>
      </c>
      <c r="H69">
        <f>F69</f>
        <v/>
      </c>
      <c r="I69">
        <f>G69/AVERAGE($G$2:$G$74)</f>
        <v/>
      </c>
      <c r="J69">
        <f>H69/AVERAGE($H$2:$H$74)</f>
        <v/>
      </c>
      <c r="K69">
        <f>IF(Params!$B$5="hratio",J69,I69)</f>
        <v/>
      </c>
    </row>
    <row r="70">
      <c r="A70" t="n">
        <v>340</v>
      </c>
      <c r="B70">
        <f>IF(Params!$B$6="center",MOD(A70+180,360),A70)</f>
        <v/>
      </c>
      <c r="C70">
        <f>COS(RADIANS(B70))</f>
        <v/>
      </c>
      <c r="D70">
        <f>0.5*(3*C70^2-1)</f>
        <v/>
      </c>
      <c r="E70">
        <f>Params!$B$4*Params!$B$3*Params!$B$2*(3*C70^2-1)</f>
        <v/>
      </c>
      <c r="F70">
        <f>1+E70</f>
        <v/>
      </c>
      <c r="G70">
        <f>1/F70^2</f>
        <v/>
      </c>
      <c r="H70">
        <f>F70</f>
        <v/>
      </c>
      <c r="I70">
        <f>G70/AVERAGE($G$2:$G$74)</f>
        <v/>
      </c>
      <c r="J70">
        <f>H70/AVERAGE($H$2:$H$74)</f>
        <v/>
      </c>
      <c r="K70">
        <f>IF(Params!$B$5="hratio",J70,I70)</f>
        <v/>
      </c>
    </row>
    <row r="71">
      <c r="A71" t="n">
        <v>345</v>
      </c>
      <c r="B71">
        <f>IF(Params!$B$6="center",MOD(A71+180,360),A71)</f>
        <v/>
      </c>
      <c r="C71">
        <f>COS(RADIANS(B71))</f>
        <v/>
      </c>
      <c r="D71">
        <f>0.5*(3*C71^2-1)</f>
        <v/>
      </c>
      <c r="E71">
        <f>Params!$B$4*Params!$B$3*Params!$B$2*(3*C71^2-1)</f>
        <v/>
      </c>
      <c r="F71">
        <f>1+E71</f>
        <v/>
      </c>
      <c r="G71">
        <f>1/F71^2</f>
        <v/>
      </c>
      <c r="H71">
        <f>F71</f>
        <v/>
      </c>
      <c r="I71">
        <f>G71/AVERAGE($G$2:$G$74)</f>
        <v/>
      </c>
      <c r="J71">
        <f>H71/AVERAGE($H$2:$H$74)</f>
        <v/>
      </c>
      <c r="K71">
        <f>IF(Params!$B$5="hratio",J71,I71)</f>
        <v/>
      </c>
    </row>
    <row r="72">
      <c r="A72" t="n">
        <v>350</v>
      </c>
      <c r="B72">
        <f>IF(Params!$B$6="center",MOD(A72+180,360),A72)</f>
        <v/>
      </c>
      <c r="C72">
        <f>COS(RADIANS(B72))</f>
        <v/>
      </c>
      <c r="D72">
        <f>0.5*(3*C72^2-1)</f>
        <v/>
      </c>
      <c r="E72">
        <f>Params!$B$4*Params!$B$3*Params!$B$2*(3*C72^2-1)</f>
        <v/>
      </c>
      <c r="F72">
        <f>1+E72</f>
        <v/>
      </c>
      <c r="G72">
        <f>1/F72^2</f>
        <v/>
      </c>
      <c r="H72">
        <f>F72</f>
        <v/>
      </c>
      <c r="I72">
        <f>G72/AVERAGE($G$2:$G$74)</f>
        <v/>
      </c>
      <c r="J72">
        <f>H72/AVERAGE($H$2:$H$74)</f>
        <v/>
      </c>
      <c r="K72">
        <f>IF(Params!$B$5="hratio",J72,I72)</f>
        <v/>
      </c>
    </row>
    <row r="73">
      <c r="A73" t="n">
        <v>355</v>
      </c>
      <c r="B73">
        <f>IF(Params!$B$6="center",MOD(A73+180,360),A73)</f>
        <v/>
      </c>
      <c r="C73">
        <f>COS(RADIANS(B73))</f>
        <v/>
      </c>
      <c r="D73">
        <f>0.5*(3*C73^2-1)</f>
        <v/>
      </c>
      <c r="E73">
        <f>Params!$B$4*Params!$B$3*Params!$B$2*(3*C73^2-1)</f>
        <v/>
      </c>
      <c r="F73">
        <f>1+E73</f>
        <v/>
      </c>
      <c r="G73">
        <f>1/F73^2</f>
        <v/>
      </c>
      <c r="H73">
        <f>F73</f>
        <v/>
      </c>
      <c r="I73">
        <f>G73/AVERAGE($G$2:$G$74)</f>
        <v/>
      </c>
      <c r="J73">
        <f>H73/AVERAGE($H$2:$H$74)</f>
        <v/>
      </c>
      <c r="K73">
        <f>IF(Params!$B$5="hratio",J73,I73)</f>
        <v/>
      </c>
    </row>
    <row r="74">
      <c r="A74" t="n">
        <v>360</v>
      </c>
      <c r="B74">
        <f>IF(Params!$B$6="center",MOD(A74+180,360),A74)</f>
        <v/>
      </c>
      <c r="C74">
        <f>COS(RADIANS(B74))</f>
        <v/>
      </c>
      <c r="D74">
        <f>0.5*(3*C74^2-1)</f>
        <v/>
      </c>
      <c r="E74">
        <f>Params!$B$4*Params!$B$3*Params!$B$2*(3*C74^2-1)</f>
        <v/>
      </c>
      <c r="F74">
        <f>1+E74</f>
        <v/>
      </c>
      <c r="G74">
        <f>1/F74^2</f>
        <v/>
      </c>
      <c r="H74">
        <f>F74</f>
        <v/>
      </c>
      <c r="I74">
        <f>G74/AVERAGE($G$2:$G$74)</f>
        <v/>
      </c>
      <c r="J74">
        <f>H74/AVERAGE($H$2:$H$74)</f>
        <v/>
      </c>
      <c r="K74">
        <f>IF(Params!$B$5="hratio",J74,I74)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6" t="inlineStr">
        <is>
          <t>Numeric snapshot at Params defaults (S=+1 expand, anti_center, invsq). Recalculate in Excel from A_vs_angle formulas after edits.</t>
        </is>
      </c>
    </row>
    <row r="2">
      <c r="A2" s="2" t="inlineStr">
        <is>
          <t>phi_deg</t>
        </is>
      </c>
      <c r="B2" s="2" t="inlineStr">
        <is>
          <t>phi_used</t>
        </is>
      </c>
      <c r="C2" s="2" t="inlineStr">
        <is>
          <t>mu</t>
        </is>
      </c>
      <c r="D2" s="2" t="inlineStr">
        <is>
          <t>f</t>
        </is>
      </c>
      <c r="E2" s="2" t="inlineStr">
        <is>
          <t>Hobs_over_H</t>
        </is>
      </c>
      <c r="F2" s="2" t="inlineStr">
        <is>
          <t>A_invsq</t>
        </is>
      </c>
      <c r="G2" s="2" t="inlineStr">
        <is>
          <t>A_hratio</t>
        </is>
      </c>
      <c r="H2" s="2" t="inlineStr">
        <is>
          <t>A_active</t>
        </is>
      </c>
      <c r="I2" s="2" t="inlineStr">
        <is>
          <t>A_collapse_invsq</t>
        </is>
      </c>
    </row>
    <row r="3">
      <c r="A3" t="n">
        <v>0</v>
      </c>
      <c r="B3" t="n">
        <v>0</v>
      </c>
      <c r="C3" t="n">
        <v>1</v>
      </c>
      <c r="D3" t="n">
        <v>0.3</v>
      </c>
      <c r="E3" t="n">
        <v>1.3</v>
      </c>
      <c r="F3" t="n">
        <v>0.6425383809843638</v>
      </c>
      <c r="G3" t="n">
        <v>1.20584498094028</v>
      </c>
      <c r="H3" t="n">
        <v>0.6425383809843638</v>
      </c>
      <c r="I3" t="n">
        <v>1.58066313565179</v>
      </c>
    </row>
    <row r="4">
      <c r="A4" t="n">
        <v>5</v>
      </c>
      <c r="B4" t="n">
        <v>5</v>
      </c>
      <c r="C4" t="n">
        <v>0.9961946980917455</v>
      </c>
      <c r="D4" t="n">
        <v>0.2965817444277468</v>
      </c>
      <c r="E4" t="n">
        <v>1.296581744427747</v>
      </c>
      <c r="F4" t="n">
        <v>0.64593077118023</v>
      </c>
      <c r="G4" t="n">
        <v>1.202674299151531</v>
      </c>
      <c r="H4" t="n">
        <v>0.64593077118023</v>
      </c>
      <c r="I4" t="n">
        <v>1.565338021918717</v>
      </c>
    </row>
    <row r="5">
      <c r="A5" t="n">
        <v>10</v>
      </c>
      <c r="B5" t="n">
        <v>10</v>
      </c>
      <c r="C5" t="n">
        <v>0.984807753012208</v>
      </c>
      <c r="D5" t="n">
        <v>0.2864308396768294</v>
      </c>
      <c r="E5" t="n">
        <v>1.286430839676829</v>
      </c>
      <c r="F5" t="n">
        <v>0.6561647464475834</v>
      </c>
      <c r="G5" t="n">
        <v>1.193258593346995</v>
      </c>
      <c r="H5" t="n">
        <v>0.6561647464475834</v>
      </c>
      <c r="I5" t="n">
        <v>1.521119243945524</v>
      </c>
    </row>
    <row r="6">
      <c r="A6" t="n">
        <v>15</v>
      </c>
      <c r="B6" t="n">
        <v>15</v>
      </c>
      <c r="C6" t="n">
        <v>0.9659258262890683</v>
      </c>
      <c r="D6" t="n">
        <v>0.2698557158514987</v>
      </c>
      <c r="E6" t="n">
        <v>1.269855715851499</v>
      </c>
      <c r="F6" t="n">
        <v>0.6734060641508406</v>
      </c>
      <c r="G6" t="n">
        <v>1.177883954982966</v>
      </c>
      <c r="H6" t="n">
        <v>0.6734060641508406</v>
      </c>
      <c r="I6" t="n">
        <v>1.45284079237225</v>
      </c>
    </row>
    <row r="7">
      <c r="A7" t="n">
        <v>20</v>
      </c>
      <c r="B7" t="n">
        <v>20</v>
      </c>
      <c r="C7" t="n">
        <v>0.9396926207859084</v>
      </c>
      <c r="D7" t="n">
        <v>0.2473599997017701</v>
      </c>
      <c r="E7" t="n">
        <v>1.24735999970177</v>
      </c>
      <c r="F7" t="n">
        <v>0.6979143905126852</v>
      </c>
      <c r="G7" t="n">
        <v>1.157017534666191</v>
      </c>
      <c r="H7" t="n">
        <v>0.6979143905126852</v>
      </c>
      <c r="I7" t="n">
        <v>1.367290552532109</v>
      </c>
    </row>
    <row r="8">
      <c r="A8" t="n">
        <v>25</v>
      </c>
      <c r="B8" t="n">
        <v>25</v>
      </c>
      <c r="C8" t="n">
        <v>0.9063077870366499</v>
      </c>
      <c r="D8" t="n">
        <v>0.2196272121794713</v>
      </c>
      <c r="E8" t="n">
        <v>1.219627212179471</v>
      </c>
      <c r="F8" t="n">
        <v>0.7300146367861235</v>
      </c>
      <c r="G8" t="n">
        <v>1.131293348019078</v>
      </c>
      <c r="H8" t="n">
        <v>0.7300146367861235</v>
      </c>
      <c r="I8" t="n">
        <v>1.271836168095969</v>
      </c>
    </row>
    <row r="9">
      <c r="A9" t="n">
        <v>30</v>
      </c>
      <c r="B9" t="n">
        <v>30</v>
      </c>
      <c r="C9" t="n">
        <v>0.8660254037844387</v>
      </c>
      <c r="D9" t="n">
        <v>0.1875000000000001</v>
      </c>
      <c r="E9" t="n">
        <v>1.1875</v>
      </c>
      <c r="F9" t="n">
        <v>0.7700493217425906</v>
      </c>
      <c r="G9" t="n">
        <v>1.101493011435832</v>
      </c>
      <c r="H9" t="n">
        <v>0.7700493217425906</v>
      </c>
      <c r="I9" t="n">
        <v>1.173244874178464</v>
      </c>
    </row>
    <row r="10">
      <c r="A10" t="n">
        <v>35</v>
      </c>
      <c r="B10" t="n">
        <v>35</v>
      </c>
      <c r="C10" t="n">
        <v>0.8191520442889918</v>
      </c>
      <c r="D10" t="n">
        <v>0.1519545322482755</v>
      </c>
      <c r="E10" t="n">
        <v>1.151954532248275</v>
      </c>
      <c r="F10" t="n">
        <v>0.8183048094961661</v>
      </c>
      <c r="G10" t="n">
        <v>1.068521993063839</v>
      </c>
      <c r="H10" t="n">
        <v>0.8183048094961661</v>
      </c>
      <c r="I10" t="n">
        <v>1.076953940964282</v>
      </c>
    </row>
    <row r="11">
      <c r="A11" t="n">
        <v>40</v>
      </c>
      <c r="B11" t="n">
        <v>40</v>
      </c>
      <c r="C11" t="n">
        <v>0.766044443118978</v>
      </c>
      <c r="D11" t="n">
        <v>0.1140708399750593</v>
      </c>
      <c r="E11" t="n">
        <v>1.114070839975059</v>
      </c>
      <c r="F11" t="n">
        <v>0.8749035227904084</v>
      </c>
      <c r="G11" t="n">
        <v>1.03338210061219</v>
      </c>
      <c r="H11" t="n">
        <v>0.8749035227904084</v>
      </c>
      <c r="I11" t="n">
        <v>0.9868187931362038</v>
      </c>
    </row>
    <row r="12">
      <c r="A12" t="n">
        <v>45</v>
      </c>
      <c r="B12" t="n">
        <v>45</v>
      </c>
      <c r="C12" t="n">
        <v>0.7071067811865476</v>
      </c>
      <c r="D12" t="n">
        <v>0.07500000000000007</v>
      </c>
      <c r="E12" t="n">
        <v>1.075</v>
      </c>
      <c r="F12" t="n">
        <v>0.9396559124833528</v>
      </c>
      <c r="G12" t="n">
        <v>0.9971410419313852</v>
      </c>
      <c r="H12" t="n">
        <v>0.9396559124833528</v>
      </c>
      <c r="I12" t="n">
        <v>0.9052154115054806</v>
      </c>
    </row>
    <row r="13">
      <c r="A13" t="n">
        <v>50</v>
      </c>
      <c r="B13" t="n">
        <v>50</v>
      </c>
      <c r="C13" t="n">
        <v>0.6427876096865394</v>
      </c>
      <c r="D13" t="n">
        <v>0.03592916002494066</v>
      </c>
      <c r="E13" t="n">
        <v>1.035929160024941</v>
      </c>
      <c r="F13" t="n">
        <v>1.01187219725054</v>
      </c>
      <c r="G13" t="n">
        <v>0.9608999832505803</v>
      </c>
      <c r="H13" t="n">
        <v>1.01187219725054</v>
      </c>
      <c r="I13" t="n">
        <v>0.8333309477138624</v>
      </c>
    </row>
    <row r="14">
      <c r="A14" t="n">
        <v>55</v>
      </c>
      <c r="B14" t="n">
        <v>55</v>
      </c>
      <c r="C14" t="n">
        <v>0.5735764363510462</v>
      </c>
      <c r="D14" t="n">
        <v>-0.001954532248275431</v>
      </c>
      <c r="E14" t="n">
        <v>0.9980454677517245</v>
      </c>
      <c r="F14" t="n">
        <v>1.090147154826385</v>
      </c>
      <c r="G14" t="n">
        <v>0.9257600907989313</v>
      </c>
      <c r="H14" t="n">
        <v>1.090147154826385</v>
      </c>
      <c r="I14" t="n">
        <v>0.7715061219742556</v>
      </c>
    </row>
    <row r="15">
      <c r="A15" t="n">
        <v>60</v>
      </c>
      <c r="B15" t="n">
        <v>60</v>
      </c>
      <c r="C15" t="n">
        <v>0.5000000000000001</v>
      </c>
      <c r="D15" t="n">
        <v>-0.03749999999999995</v>
      </c>
      <c r="E15" t="n">
        <v>0.9625</v>
      </c>
      <c r="F15" t="n">
        <v>1.172152998604635</v>
      </c>
      <c r="G15" t="n">
        <v>0.8927890724269378</v>
      </c>
      <c r="H15" t="n">
        <v>1.172152998604635</v>
      </c>
      <c r="I15" t="n">
        <v>0.7195470450579202</v>
      </c>
    </row>
    <row r="16">
      <c r="A16" t="n">
        <v>65</v>
      </c>
      <c r="B16" t="n">
        <v>65</v>
      </c>
      <c r="C16" t="n">
        <v>0.4226182617406994</v>
      </c>
      <c r="D16" t="n">
        <v>-0.06962721217947135</v>
      </c>
      <c r="E16" t="n">
        <v>0.9303727878205287</v>
      </c>
      <c r="F16" t="n">
        <v>1.254503220458439</v>
      </c>
      <c r="G16" t="n">
        <v>0.8629887358436925</v>
      </c>
      <c r="H16" t="n">
        <v>1.254503220458439</v>
      </c>
      <c r="I16" t="n">
        <v>0.6769717070115709</v>
      </c>
    </row>
    <row r="17">
      <c r="A17" t="n">
        <v>70</v>
      </c>
      <c r="B17" t="n">
        <v>70</v>
      </c>
      <c r="C17" t="n">
        <v>0.3420201433256688</v>
      </c>
      <c r="D17" t="n">
        <v>-0.09735999970177002</v>
      </c>
      <c r="E17" t="n">
        <v>0.90264000029823</v>
      </c>
      <c r="F17" t="n">
        <v>1.332774358629196</v>
      </c>
      <c r="G17" t="n">
        <v>0.8372645491965793</v>
      </c>
      <c r="H17" t="n">
        <v>1.332774358629196</v>
      </c>
      <c r="I17" t="n">
        <v>0.6431868457316796</v>
      </c>
    </row>
    <row r="18">
      <c r="A18" t="n">
        <v>75</v>
      </c>
      <c r="B18" t="n">
        <v>75</v>
      </c>
      <c r="C18" t="n">
        <v>0.2588190451025207</v>
      </c>
      <c r="D18" t="n">
        <v>-0.1198557158514987</v>
      </c>
      <c r="E18" t="n">
        <v>0.8801442841485013</v>
      </c>
      <c r="F18" t="n">
        <v>1.401774106434511</v>
      </c>
      <c r="G18" t="n">
        <v>0.8163981288798043</v>
      </c>
      <c r="H18" t="n">
        <v>1.401774106434511</v>
      </c>
      <c r="I18" t="n">
        <v>0.6176056533746185</v>
      </c>
    </row>
    <row r="19">
      <c r="A19" t="n">
        <v>80</v>
      </c>
      <c r="B19" t="n">
        <v>80</v>
      </c>
      <c r="C19" t="n">
        <v>0.1736481776669304</v>
      </c>
      <c r="D19" t="n">
        <v>-0.1364308396768294</v>
      </c>
      <c r="E19" t="n">
        <v>0.8635691603231707</v>
      </c>
      <c r="F19" t="n">
        <v>1.456101101261065</v>
      </c>
      <c r="G19" t="n">
        <v>0.8010234905157746</v>
      </c>
      <c r="H19" t="n">
        <v>1.456101101261065</v>
      </c>
      <c r="I19" t="n">
        <v>0.5997211749844999</v>
      </c>
    </row>
    <row r="20">
      <c r="A20" t="n">
        <v>85</v>
      </c>
      <c r="B20" t="n">
        <v>85</v>
      </c>
      <c r="C20" t="n">
        <v>0.08715574274765814</v>
      </c>
      <c r="D20" t="n">
        <v>-0.1465817444277468</v>
      </c>
      <c r="E20" t="n">
        <v>0.8534182555722531</v>
      </c>
      <c r="F20" t="n">
        <v>1.490946026560908</v>
      </c>
      <c r="G20" t="n">
        <v>0.7916077847112386</v>
      </c>
      <c r="H20" t="n">
        <v>1.490946026560908</v>
      </c>
      <c r="I20" t="n">
        <v>0.5891492908263668</v>
      </c>
    </row>
    <row r="21">
      <c r="A21" t="n">
        <v>90</v>
      </c>
      <c r="B21" t="n">
        <v>90</v>
      </c>
      <c r="C21" t="n">
        <v>6.123233995736766e-17</v>
      </c>
      <c r="D21" t="n">
        <v>-0.15</v>
      </c>
      <c r="E21" t="n">
        <v>0.85</v>
      </c>
      <c r="F21" t="n">
        <v>1.502961749292145</v>
      </c>
      <c r="G21" t="n">
        <v>0.7884371029224905</v>
      </c>
      <c r="H21" t="n">
        <v>1.502961749292145</v>
      </c>
      <c r="I21" t="n">
        <v>0.5856521258747651</v>
      </c>
    </row>
    <row r="22">
      <c r="A22" t="n">
        <v>95</v>
      </c>
      <c r="B22" t="n">
        <v>95</v>
      </c>
      <c r="C22" t="n">
        <v>-0.08715574274765824</v>
      </c>
      <c r="D22" t="n">
        <v>-0.1465817444277468</v>
      </c>
      <c r="E22" t="n">
        <v>0.8534182555722531</v>
      </c>
      <c r="F22" t="n">
        <v>1.490946026560908</v>
      </c>
      <c r="G22" t="n">
        <v>0.7916077847112386</v>
      </c>
      <c r="H22" t="n">
        <v>1.490946026560908</v>
      </c>
      <c r="I22" t="n">
        <v>0.5891492908263668</v>
      </c>
    </row>
    <row r="23">
      <c r="A23" t="n">
        <v>100</v>
      </c>
      <c r="B23" t="n">
        <v>100</v>
      </c>
      <c r="C23" t="n">
        <v>-0.1736481776669303</v>
      </c>
      <c r="D23" t="n">
        <v>-0.1364308396768294</v>
      </c>
      <c r="E23" t="n">
        <v>0.8635691603231705</v>
      </c>
      <c r="F23" t="n">
        <v>1.456101101261065</v>
      </c>
      <c r="G23" t="n">
        <v>0.8010234905157745</v>
      </c>
      <c r="H23" t="n">
        <v>1.456101101261065</v>
      </c>
      <c r="I23" t="n">
        <v>0.5997211749844999</v>
      </c>
    </row>
    <row r="24">
      <c r="A24" t="n">
        <v>105</v>
      </c>
      <c r="B24" t="n">
        <v>105</v>
      </c>
      <c r="C24" t="n">
        <v>-0.2588190451025209</v>
      </c>
      <c r="D24" t="n">
        <v>-0.1198557158514987</v>
      </c>
      <c r="E24" t="n">
        <v>0.8801442841485013</v>
      </c>
      <c r="F24" t="n">
        <v>1.401774106434511</v>
      </c>
      <c r="G24" t="n">
        <v>0.8163981288798043</v>
      </c>
      <c r="H24" t="n">
        <v>1.401774106434511</v>
      </c>
      <c r="I24" t="n">
        <v>0.6176056533746188</v>
      </c>
    </row>
    <row r="25">
      <c r="A25" t="n">
        <v>110</v>
      </c>
      <c r="B25" t="n">
        <v>110</v>
      </c>
      <c r="C25" t="n">
        <v>-0.3420201433256687</v>
      </c>
      <c r="D25" t="n">
        <v>-0.09735999970177006</v>
      </c>
      <c r="E25" t="n">
        <v>0.90264000029823</v>
      </c>
      <c r="F25" t="n">
        <v>1.332774358629196</v>
      </c>
      <c r="G25" t="n">
        <v>0.8372645491965793</v>
      </c>
      <c r="H25" t="n">
        <v>1.332774358629196</v>
      </c>
      <c r="I25" t="n">
        <v>0.6431868457316796</v>
      </c>
    </row>
    <row r="26">
      <c r="A26" t="n">
        <v>115</v>
      </c>
      <c r="B26" t="n">
        <v>115</v>
      </c>
      <c r="C26" t="n">
        <v>-0.4226182617406993</v>
      </c>
      <c r="D26" t="n">
        <v>-0.06962721217947139</v>
      </c>
      <c r="E26" t="n">
        <v>0.9303727878205286</v>
      </c>
      <c r="F26" t="n">
        <v>1.25450322045844</v>
      </c>
      <c r="G26" t="n">
        <v>0.8629887358436924</v>
      </c>
      <c r="H26" t="n">
        <v>1.25450322045844</v>
      </c>
      <c r="I26" t="n">
        <v>0.6769717070115709</v>
      </c>
    </row>
    <row r="27">
      <c r="A27" t="n">
        <v>120</v>
      </c>
      <c r="B27" t="n">
        <v>120</v>
      </c>
      <c r="C27" t="n">
        <v>-0.4999999999999998</v>
      </c>
      <c r="D27" t="n">
        <v>-0.0375000000000001</v>
      </c>
      <c r="E27" t="n">
        <v>0.9624999999999999</v>
      </c>
      <c r="F27" t="n">
        <v>1.172152998604635</v>
      </c>
      <c r="G27" t="n">
        <v>0.8927890724269377</v>
      </c>
      <c r="H27" t="n">
        <v>1.172152998604635</v>
      </c>
      <c r="I27" t="n">
        <v>0.7195470450579199</v>
      </c>
    </row>
    <row r="28">
      <c r="A28" t="n">
        <v>125</v>
      </c>
      <c r="B28" t="n">
        <v>125</v>
      </c>
      <c r="C28" t="n">
        <v>-0.5735764363510462</v>
      </c>
      <c r="D28" t="n">
        <v>-0.001954532248275431</v>
      </c>
      <c r="E28" t="n">
        <v>0.9980454677517245</v>
      </c>
      <c r="F28" t="n">
        <v>1.090147154826385</v>
      </c>
      <c r="G28" t="n">
        <v>0.9257600907989313</v>
      </c>
      <c r="H28" t="n">
        <v>1.090147154826385</v>
      </c>
      <c r="I28" t="n">
        <v>0.7715061219742556</v>
      </c>
    </row>
    <row r="29">
      <c r="A29" t="n">
        <v>130</v>
      </c>
      <c r="B29" t="n">
        <v>130</v>
      </c>
      <c r="C29" t="n">
        <v>-0.6427876096865394</v>
      </c>
      <c r="D29" t="n">
        <v>0.03592916002494066</v>
      </c>
      <c r="E29" t="n">
        <v>1.035929160024941</v>
      </c>
      <c r="F29" t="n">
        <v>1.01187219725054</v>
      </c>
      <c r="G29" t="n">
        <v>0.9608999832505803</v>
      </c>
      <c r="H29" t="n">
        <v>1.01187219725054</v>
      </c>
      <c r="I29" t="n">
        <v>0.8333309477138624</v>
      </c>
    </row>
    <row r="30">
      <c r="A30" t="n">
        <v>135</v>
      </c>
      <c r="B30" t="n">
        <v>135</v>
      </c>
      <c r="C30" t="n">
        <v>-0.7071067811865475</v>
      </c>
      <c r="D30" t="n">
        <v>0.07499999999999993</v>
      </c>
      <c r="E30" t="n">
        <v>1.075</v>
      </c>
      <c r="F30" t="n">
        <v>0.9396559124833531</v>
      </c>
      <c r="G30" t="n">
        <v>0.997141041931385</v>
      </c>
      <c r="H30" t="n">
        <v>0.9396559124833531</v>
      </c>
      <c r="I30" t="n">
        <v>0.9052154115054805</v>
      </c>
    </row>
    <row r="31">
      <c r="A31" t="n">
        <v>140</v>
      </c>
      <c r="B31" t="n">
        <v>140</v>
      </c>
      <c r="C31" t="n">
        <v>-0.7660444431189779</v>
      </c>
      <c r="D31" t="n">
        <v>0.1140708399750592</v>
      </c>
      <c r="E31" t="n">
        <v>1.114070839975059</v>
      </c>
      <c r="F31" t="n">
        <v>0.8749035227904088</v>
      </c>
      <c r="G31" t="n">
        <v>1.03338210061219</v>
      </c>
      <c r="H31" t="n">
        <v>0.8749035227904088</v>
      </c>
      <c r="I31" t="n">
        <v>0.9868187931362035</v>
      </c>
    </row>
    <row r="32">
      <c r="A32" t="n">
        <v>145</v>
      </c>
      <c r="B32" t="n">
        <v>145</v>
      </c>
      <c r="C32" t="n">
        <v>-0.8191520442889919</v>
      </c>
      <c r="D32" t="n">
        <v>0.1519545322482755</v>
      </c>
      <c r="E32" t="n">
        <v>1.151954532248276</v>
      </c>
      <c r="F32" t="n">
        <v>0.8183048094961657</v>
      </c>
      <c r="G32" t="n">
        <v>1.068521993063839</v>
      </c>
      <c r="H32" t="n">
        <v>0.8183048094961657</v>
      </c>
      <c r="I32" t="n">
        <v>1.076953940964282</v>
      </c>
    </row>
    <row r="33">
      <c r="A33" t="n">
        <v>150</v>
      </c>
      <c r="B33" t="n">
        <v>150</v>
      </c>
      <c r="C33" t="n">
        <v>-0.8660254037844387</v>
      </c>
      <c r="D33" t="n">
        <v>0.1875000000000001</v>
      </c>
      <c r="E33" t="n">
        <v>1.1875</v>
      </c>
      <c r="F33" t="n">
        <v>0.7700493217425906</v>
      </c>
      <c r="G33" t="n">
        <v>1.101493011435832</v>
      </c>
      <c r="H33" t="n">
        <v>0.7700493217425906</v>
      </c>
      <c r="I33" t="n">
        <v>1.173244874178464</v>
      </c>
    </row>
    <row r="34">
      <c r="A34" t="n">
        <v>155</v>
      </c>
      <c r="B34" t="n">
        <v>155</v>
      </c>
      <c r="C34" t="n">
        <v>-0.9063077870366499</v>
      </c>
      <c r="D34" t="n">
        <v>0.2196272121794713</v>
      </c>
      <c r="E34" t="n">
        <v>1.219627212179471</v>
      </c>
      <c r="F34" t="n">
        <v>0.7300146367861235</v>
      </c>
      <c r="G34" t="n">
        <v>1.131293348019078</v>
      </c>
      <c r="H34" t="n">
        <v>0.7300146367861235</v>
      </c>
      <c r="I34" t="n">
        <v>1.271836168095969</v>
      </c>
    </row>
    <row r="35">
      <c r="A35" t="n">
        <v>160</v>
      </c>
      <c r="B35" t="n">
        <v>160</v>
      </c>
      <c r="C35" t="n">
        <v>-0.9396926207859083</v>
      </c>
      <c r="D35" t="n">
        <v>0.2473599997017699</v>
      </c>
      <c r="E35" t="n">
        <v>1.24735999970177</v>
      </c>
      <c r="F35" t="n">
        <v>0.6979143905126857</v>
      </c>
      <c r="G35" t="n">
        <v>1.157017534666191</v>
      </c>
      <c r="H35" t="n">
        <v>0.6979143905126857</v>
      </c>
      <c r="I35" t="n">
        <v>1.367290552532108</v>
      </c>
    </row>
    <row r="36">
      <c r="A36" t="n">
        <v>165</v>
      </c>
      <c r="B36" t="n">
        <v>165</v>
      </c>
      <c r="C36" t="n">
        <v>-0.9659258262890682</v>
      </c>
      <c r="D36" t="n">
        <v>0.2698557158514986</v>
      </c>
      <c r="E36" t="n">
        <v>1.269855715851499</v>
      </c>
      <c r="F36" t="n">
        <v>0.6734060641508406</v>
      </c>
      <c r="G36" t="n">
        <v>1.177883954982966</v>
      </c>
      <c r="H36" t="n">
        <v>0.6734060641508406</v>
      </c>
      <c r="I36" t="n">
        <v>1.45284079237225</v>
      </c>
    </row>
    <row r="37">
      <c r="A37" t="n">
        <v>170</v>
      </c>
      <c r="B37" t="n">
        <v>170</v>
      </c>
      <c r="C37" t="n">
        <v>-0.984807753012208</v>
      </c>
      <c r="D37" t="n">
        <v>0.2864308396768294</v>
      </c>
      <c r="E37" t="n">
        <v>1.286430839676829</v>
      </c>
      <c r="F37" t="n">
        <v>0.6561647464475834</v>
      </c>
      <c r="G37" t="n">
        <v>1.193258593346995</v>
      </c>
      <c r="H37" t="n">
        <v>0.6561647464475834</v>
      </c>
      <c r="I37" t="n">
        <v>1.521119243945524</v>
      </c>
    </row>
    <row r="38">
      <c r="A38" t="n">
        <v>175</v>
      </c>
      <c r="B38" t="n">
        <v>175</v>
      </c>
      <c r="C38" t="n">
        <v>-0.9961946980917455</v>
      </c>
      <c r="D38" t="n">
        <v>0.2965817444277468</v>
      </c>
      <c r="E38" t="n">
        <v>1.296581744427747</v>
      </c>
      <c r="F38" t="n">
        <v>0.64593077118023</v>
      </c>
      <c r="G38" t="n">
        <v>1.202674299151531</v>
      </c>
      <c r="H38" t="n">
        <v>0.64593077118023</v>
      </c>
      <c r="I38" t="n">
        <v>1.565338021918717</v>
      </c>
    </row>
    <row r="39">
      <c r="A39" t="n">
        <v>180</v>
      </c>
      <c r="B39" t="n">
        <v>180</v>
      </c>
      <c r="C39" t="n">
        <v>-1</v>
      </c>
      <c r="D39" t="n">
        <v>0.3</v>
      </c>
      <c r="E39" t="n">
        <v>1.3</v>
      </c>
      <c r="F39" t="n">
        <v>0.6425383809843638</v>
      </c>
      <c r="G39" t="n">
        <v>1.20584498094028</v>
      </c>
      <c r="H39" t="n">
        <v>0.6425383809843638</v>
      </c>
      <c r="I39" t="n">
        <v>1.58066313565179</v>
      </c>
    </row>
    <row r="40">
      <c r="A40" t="n">
        <v>185</v>
      </c>
      <c r="B40" t="n">
        <v>185</v>
      </c>
      <c r="C40" t="n">
        <v>-0.9961946980917455</v>
      </c>
      <c r="D40" t="n">
        <v>0.2965817444277468</v>
      </c>
      <c r="E40" t="n">
        <v>1.296581744427747</v>
      </c>
      <c r="F40" t="n">
        <v>0.64593077118023</v>
      </c>
      <c r="G40" t="n">
        <v>1.202674299151531</v>
      </c>
      <c r="H40" t="n">
        <v>0.64593077118023</v>
      </c>
      <c r="I40" t="n">
        <v>1.565338021918717</v>
      </c>
    </row>
    <row r="41">
      <c r="A41" t="n">
        <v>190</v>
      </c>
      <c r="B41" t="n">
        <v>190</v>
      </c>
      <c r="C41" t="n">
        <v>-0.984807753012208</v>
      </c>
      <c r="D41" t="n">
        <v>0.2864308396768294</v>
      </c>
      <c r="E41" t="n">
        <v>1.286430839676829</v>
      </c>
      <c r="F41" t="n">
        <v>0.6561647464475834</v>
      </c>
      <c r="G41" t="n">
        <v>1.193258593346995</v>
      </c>
      <c r="H41" t="n">
        <v>0.6561647464475834</v>
      </c>
      <c r="I41" t="n">
        <v>1.521119243945524</v>
      </c>
    </row>
    <row r="42">
      <c r="A42" t="n">
        <v>195</v>
      </c>
      <c r="B42" t="n">
        <v>195</v>
      </c>
      <c r="C42" t="n">
        <v>-0.9659258262890683</v>
      </c>
      <c r="D42" t="n">
        <v>0.2698557158514987</v>
      </c>
      <c r="E42" t="n">
        <v>1.269855715851499</v>
      </c>
      <c r="F42" t="n">
        <v>0.6734060641508406</v>
      </c>
      <c r="G42" t="n">
        <v>1.177883954982966</v>
      </c>
      <c r="H42" t="n">
        <v>0.6734060641508406</v>
      </c>
      <c r="I42" t="n">
        <v>1.45284079237225</v>
      </c>
    </row>
    <row r="43">
      <c r="A43" t="n">
        <v>200</v>
      </c>
      <c r="B43" t="n">
        <v>200</v>
      </c>
      <c r="C43" t="n">
        <v>-0.9396926207859084</v>
      </c>
      <c r="D43" t="n">
        <v>0.2473599997017701</v>
      </c>
      <c r="E43" t="n">
        <v>1.24735999970177</v>
      </c>
      <c r="F43" t="n">
        <v>0.6979143905126852</v>
      </c>
      <c r="G43" t="n">
        <v>1.157017534666191</v>
      </c>
      <c r="H43" t="n">
        <v>0.6979143905126852</v>
      </c>
      <c r="I43" t="n">
        <v>1.367290552532109</v>
      </c>
    </row>
    <row r="44">
      <c r="A44" t="n">
        <v>205</v>
      </c>
      <c r="B44" t="n">
        <v>205</v>
      </c>
      <c r="C44" t="n">
        <v>-0.90630778703665</v>
      </c>
      <c r="D44" t="n">
        <v>0.2196272121794714</v>
      </c>
      <c r="E44" t="n">
        <v>1.219627212179471</v>
      </c>
      <c r="F44" t="n">
        <v>0.7300146367861235</v>
      </c>
      <c r="G44" t="n">
        <v>1.131293348019078</v>
      </c>
      <c r="H44" t="n">
        <v>0.7300146367861235</v>
      </c>
      <c r="I44" t="n">
        <v>1.271836168095969</v>
      </c>
    </row>
    <row r="45">
      <c r="A45" t="n">
        <v>210</v>
      </c>
      <c r="B45" t="n">
        <v>210</v>
      </c>
      <c r="C45" t="n">
        <v>-0.8660254037844386</v>
      </c>
      <c r="D45" t="n">
        <v>0.1874999999999999</v>
      </c>
      <c r="E45" t="n">
        <v>1.1875</v>
      </c>
      <c r="F45" t="n">
        <v>0.7700493217425906</v>
      </c>
      <c r="G45" t="n">
        <v>1.101493011435832</v>
      </c>
      <c r="H45" t="n">
        <v>0.7700493217425906</v>
      </c>
      <c r="I45" t="n">
        <v>1.173244874178464</v>
      </c>
    </row>
    <row r="46">
      <c r="A46" t="n">
        <v>215</v>
      </c>
      <c r="B46" t="n">
        <v>215</v>
      </c>
      <c r="C46" t="n">
        <v>-0.8191520442889918</v>
      </c>
      <c r="D46" t="n">
        <v>0.1519545322482755</v>
      </c>
      <c r="E46" t="n">
        <v>1.151954532248275</v>
      </c>
      <c r="F46" t="n">
        <v>0.8183048094961661</v>
      </c>
      <c r="G46" t="n">
        <v>1.068521993063839</v>
      </c>
      <c r="H46" t="n">
        <v>0.8183048094961661</v>
      </c>
      <c r="I46" t="n">
        <v>1.076953940964282</v>
      </c>
    </row>
    <row r="47">
      <c r="A47" t="n">
        <v>220</v>
      </c>
      <c r="B47" t="n">
        <v>220</v>
      </c>
      <c r="C47" t="n">
        <v>-0.766044443118978</v>
      </c>
      <c r="D47" t="n">
        <v>0.1140708399750593</v>
      </c>
      <c r="E47" t="n">
        <v>1.114070839975059</v>
      </c>
      <c r="F47" t="n">
        <v>0.8749035227904084</v>
      </c>
      <c r="G47" t="n">
        <v>1.03338210061219</v>
      </c>
      <c r="H47" t="n">
        <v>0.8749035227904084</v>
      </c>
      <c r="I47" t="n">
        <v>0.9868187931362038</v>
      </c>
    </row>
    <row r="48">
      <c r="A48" t="n">
        <v>225</v>
      </c>
      <c r="B48" t="n">
        <v>225</v>
      </c>
      <c r="C48" t="n">
        <v>-0.7071067811865477</v>
      </c>
      <c r="D48" t="n">
        <v>0.07500000000000009</v>
      </c>
      <c r="E48" t="n">
        <v>1.075</v>
      </c>
      <c r="F48" t="n">
        <v>0.9396559124833528</v>
      </c>
      <c r="G48" t="n">
        <v>0.9971410419313852</v>
      </c>
      <c r="H48" t="n">
        <v>0.9396559124833528</v>
      </c>
      <c r="I48" t="n">
        <v>0.9052154115054806</v>
      </c>
    </row>
    <row r="49">
      <c r="A49" t="n">
        <v>230</v>
      </c>
      <c r="B49" t="n">
        <v>230</v>
      </c>
      <c r="C49" t="n">
        <v>-0.6427876096865395</v>
      </c>
      <c r="D49" t="n">
        <v>0.03592916002494077</v>
      </c>
      <c r="E49" t="n">
        <v>1.035929160024941</v>
      </c>
      <c r="F49" t="n">
        <v>1.01187219725054</v>
      </c>
      <c r="G49" t="n">
        <v>0.9608999832505803</v>
      </c>
      <c r="H49" t="n">
        <v>1.01187219725054</v>
      </c>
      <c r="I49" t="n">
        <v>0.8333309477138626</v>
      </c>
    </row>
    <row r="50">
      <c r="A50" t="n">
        <v>235</v>
      </c>
      <c r="B50" t="n">
        <v>235</v>
      </c>
      <c r="C50" t="n">
        <v>-0.5735764363510464</v>
      </c>
      <c r="D50" t="n">
        <v>-0.001954532248275331</v>
      </c>
      <c r="E50" t="n">
        <v>0.9980454677517246</v>
      </c>
      <c r="F50" t="n">
        <v>1.090147154826385</v>
      </c>
      <c r="G50" t="n">
        <v>0.9257600907989314</v>
      </c>
      <c r="H50" t="n">
        <v>1.090147154826385</v>
      </c>
      <c r="I50" t="n">
        <v>0.7715061219742559</v>
      </c>
    </row>
    <row r="51">
      <c r="A51" t="n">
        <v>240</v>
      </c>
      <c r="B51" t="n">
        <v>240</v>
      </c>
      <c r="C51" t="n">
        <v>-0.5000000000000004</v>
      </c>
      <c r="D51" t="n">
        <v>-0.0374999999999998</v>
      </c>
      <c r="E51" t="n">
        <v>0.9625000000000002</v>
      </c>
      <c r="F51" t="n">
        <v>1.172152998604634</v>
      </c>
      <c r="G51" t="n">
        <v>0.8927890724269379</v>
      </c>
      <c r="H51" t="n">
        <v>1.172152998604634</v>
      </c>
      <c r="I51" t="n">
        <v>0.7195470450579202</v>
      </c>
    </row>
    <row r="52">
      <c r="A52" t="n">
        <v>245</v>
      </c>
      <c r="B52" t="n">
        <v>245</v>
      </c>
      <c r="C52" t="n">
        <v>-0.4226182617406992</v>
      </c>
      <c r="D52" t="n">
        <v>-0.06962721217947146</v>
      </c>
      <c r="E52" t="n">
        <v>0.9303727878205286</v>
      </c>
      <c r="F52" t="n">
        <v>1.25450322045844</v>
      </c>
      <c r="G52" t="n">
        <v>0.8629887358436924</v>
      </c>
      <c r="H52" t="n">
        <v>1.25450322045844</v>
      </c>
      <c r="I52" t="n">
        <v>0.6769717070115709</v>
      </c>
    </row>
    <row r="53">
      <c r="A53" t="n">
        <v>250</v>
      </c>
      <c r="B53" t="n">
        <v>250</v>
      </c>
      <c r="C53" t="n">
        <v>-0.3420201433256685</v>
      </c>
      <c r="D53" t="n">
        <v>-0.0973599997017701</v>
      </c>
      <c r="E53" t="n">
        <v>0.9026400002982299</v>
      </c>
      <c r="F53" t="n">
        <v>1.332774358629196</v>
      </c>
      <c r="G53" t="n">
        <v>0.8372645491965792</v>
      </c>
      <c r="H53" t="n">
        <v>1.332774358629196</v>
      </c>
      <c r="I53" t="n">
        <v>0.6431868457316796</v>
      </c>
    </row>
    <row r="54">
      <c r="A54" t="n">
        <v>255</v>
      </c>
      <c r="B54" t="n">
        <v>255</v>
      </c>
      <c r="C54" t="n">
        <v>-0.2588190451025206</v>
      </c>
      <c r="D54" t="n">
        <v>-0.1198557158514987</v>
      </c>
      <c r="E54" t="n">
        <v>0.8801442841485012</v>
      </c>
      <c r="F54" t="n">
        <v>1.401774106434511</v>
      </c>
      <c r="G54" t="n">
        <v>0.8163981288798042</v>
      </c>
      <c r="H54" t="n">
        <v>1.401774106434511</v>
      </c>
      <c r="I54" t="n">
        <v>0.6176056533746185</v>
      </c>
    </row>
    <row r="55">
      <c r="A55" t="n">
        <v>260</v>
      </c>
      <c r="B55" t="n">
        <v>260</v>
      </c>
      <c r="C55" t="n">
        <v>-0.1736481776669303</v>
      </c>
      <c r="D55" t="n">
        <v>-0.1364308396768294</v>
      </c>
      <c r="E55" t="n">
        <v>0.8635691603231705</v>
      </c>
      <c r="F55" t="n">
        <v>1.456101101261065</v>
      </c>
      <c r="G55" t="n">
        <v>0.8010234905157745</v>
      </c>
      <c r="H55" t="n">
        <v>1.456101101261065</v>
      </c>
      <c r="I55" t="n">
        <v>0.5997211749844999</v>
      </c>
    </row>
    <row r="56">
      <c r="A56" t="n">
        <v>265</v>
      </c>
      <c r="B56" t="n">
        <v>265</v>
      </c>
      <c r="C56" t="n">
        <v>-0.08715574274765825</v>
      </c>
      <c r="D56" t="n">
        <v>-0.1465817444277468</v>
      </c>
      <c r="E56" t="n">
        <v>0.8534182555722531</v>
      </c>
      <c r="F56" t="n">
        <v>1.490946026560908</v>
      </c>
      <c r="G56" t="n">
        <v>0.7916077847112386</v>
      </c>
      <c r="H56" t="n">
        <v>1.490946026560908</v>
      </c>
      <c r="I56" t="n">
        <v>0.5891492908263668</v>
      </c>
    </row>
    <row r="57">
      <c r="A57" t="n">
        <v>270</v>
      </c>
      <c r="B57" t="n">
        <v>270</v>
      </c>
      <c r="C57" t="n">
        <v>-1.83697019872103e-16</v>
      </c>
      <c r="D57" t="n">
        <v>-0.15</v>
      </c>
      <c r="E57" t="n">
        <v>0.85</v>
      </c>
      <c r="F57" t="n">
        <v>1.502961749292145</v>
      </c>
      <c r="G57" t="n">
        <v>0.7884371029224905</v>
      </c>
      <c r="H57" t="n">
        <v>1.502961749292145</v>
      </c>
      <c r="I57" t="n">
        <v>0.5856521258747651</v>
      </c>
    </row>
    <row r="58">
      <c r="A58" t="n">
        <v>275</v>
      </c>
      <c r="B58" t="n">
        <v>275</v>
      </c>
      <c r="C58" t="n">
        <v>0.08715574274765789</v>
      </c>
      <c r="D58" t="n">
        <v>-0.1465817444277468</v>
      </c>
      <c r="E58" t="n">
        <v>0.8534182555722531</v>
      </c>
      <c r="F58" t="n">
        <v>1.490946026560908</v>
      </c>
      <c r="G58" t="n">
        <v>0.7916077847112386</v>
      </c>
      <c r="H58" t="n">
        <v>1.490946026560908</v>
      </c>
      <c r="I58" t="n">
        <v>0.5891492908263668</v>
      </c>
    </row>
    <row r="59">
      <c r="A59" t="n">
        <v>280</v>
      </c>
      <c r="B59" t="n">
        <v>280</v>
      </c>
      <c r="C59" t="n">
        <v>0.17364817766693</v>
      </c>
      <c r="D59" t="n">
        <v>-0.1364308396768295</v>
      </c>
      <c r="E59" t="n">
        <v>0.8635691603231705</v>
      </c>
      <c r="F59" t="n">
        <v>1.456101101261065</v>
      </c>
      <c r="G59" t="n">
        <v>0.8010234905157745</v>
      </c>
      <c r="H59" t="n">
        <v>1.456101101261065</v>
      </c>
      <c r="I59" t="n">
        <v>0.5997211749844999</v>
      </c>
    </row>
    <row r="60">
      <c r="A60" t="n">
        <v>285</v>
      </c>
      <c r="B60" t="n">
        <v>285</v>
      </c>
      <c r="C60" t="n">
        <v>0.2588190451025203</v>
      </c>
      <c r="D60" t="n">
        <v>-0.1198557158514988</v>
      </c>
      <c r="E60" t="n">
        <v>0.8801442841485012</v>
      </c>
      <c r="F60" t="n">
        <v>1.401774106434511</v>
      </c>
      <c r="G60" t="n">
        <v>0.8163981288798042</v>
      </c>
      <c r="H60" t="n">
        <v>1.401774106434511</v>
      </c>
      <c r="I60" t="n">
        <v>0.6176056533746185</v>
      </c>
    </row>
    <row r="61">
      <c r="A61" t="n">
        <v>290</v>
      </c>
      <c r="B61" t="n">
        <v>290</v>
      </c>
      <c r="C61" t="n">
        <v>0.342020143325669</v>
      </c>
      <c r="D61" t="n">
        <v>-0.09735999970176998</v>
      </c>
      <c r="E61" t="n">
        <v>0.90264000029823</v>
      </c>
      <c r="F61" t="n">
        <v>1.332774358629196</v>
      </c>
      <c r="G61" t="n">
        <v>0.8372645491965793</v>
      </c>
      <c r="H61" t="n">
        <v>1.332774358629196</v>
      </c>
      <c r="I61" t="n">
        <v>0.6431868457316796</v>
      </c>
    </row>
    <row r="62">
      <c r="A62" t="n">
        <v>295</v>
      </c>
      <c r="B62" t="n">
        <v>295</v>
      </c>
      <c r="C62" t="n">
        <v>0.4226182617406996</v>
      </c>
      <c r="D62" t="n">
        <v>-0.06962721217947128</v>
      </c>
      <c r="E62" t="n">
        <v>0.9303727878205287</v>
      </c>
      <c r="F62" t="n">
        <v>1.254503220458439</v>
      </c>
      <c r="G62" t="n">
        <v>0.8629887358436925</v>
      </c>
      <c r="H62" t="n">
        <v>1.254503220458439</v>
      </c>
      <c r="I62" t="n">
        <v>0.6769717070115714</v>
      </c>
    </row>
    <row r="63">
      <c r="A63" t="n">
        <v>300</v>
      </c>
      <c r="B63" t="n">
        <v>300</v>
      </c>
      <c r="C63" t="n">
        <v>0.5000000000000001</v>
      </c>
      <c r="D63" t="n">
        <v>-0.03749999999999995</v>
      </c>
      <c r="E63" t="n">
        <v>0.9625</v>
      </c>
      <c r="F63" t="n">
        <v>1.172152998604635</v>
      </c>
      <c r="G63" t="n">
        <v>0.8927890724269378</v>
      </c>
      <c r="H63" t="n">
        <v>1.172152998604635</v>
      </c>
      <c r="I63" t="n">
        <v>0.7195470450579202</v>
      </c>
    </row>
    <row r="64">
      <c r="A64" t="n">
        <v>305</v>
      </c>
      <c r="B64" t="n">
        <v>305</v>
      </c>
      <c r="C64" t="n">
        <v>0.573576436351046</v>
      </c>
      <c r="D64" t="n">
        <v>-0.001954532248275498</v>
      </c>
      <c r="E64" t="n">
        <v>0.9980454677517245</v>
      </c>
      <c r="F64" t="n">
        <v>1.090147154826385</v>
      </c>
      <c r="G64" t="n">
        <v>0.9257600907989313</v>
      </c>
      <c r="H64" t="n">
        <v>1.090147154826385</v>
      </c>
      <c r="I64" t="n">
        <v>0.7715061219742556</v>
      </c>
    </row>
    <row r="65">
      <c r="A65" t="n">
        <v>310</v>
      </c>
      <c r="B65" t="n">
        <v>310</v>
      </c>
      <c r="C65" t="n">
        <v>0.6427876096865393</v>
      </c>
      <c r="D65" t="n">
        <v>0.03592916002494063</v>
      </c>
      <c r="E65" t="n">
        <v>1.035929160024941</v>
      </c>
      <c r="F65" t="n">
        <v>1.01187219725054</v>
      </c>
      <c r="G65" t="n">
        <v>0.9608999832505803</v>
      </c>
      <c r="H65" t="n">
        <v>1.01187219725054</v>
      </c>
      <c r="I65" t="n">
        <v>0.8333309477138624</v>
      </c>
    </row>
    <row r="66">
      <c r="A66" t="n">
        <v>315</v>
      </c>
      <c r="B66" t="n">
        <v>315</v>
      </c>
      <c r="C66" t="n">
        <v>0.7071067811865474</v>
      </c>
      <c r="D66" t="n">
        <v>0.0749999999999999</v>
      </c>
      <c r="E66" t="n">
        <v>1.075</v>
      </c>
      <c r="F66" t="n">
        <v>0.9396559124833531</v>
      </c>
      <c r="G66" t="n">
        <v>0.997141041931385</v>
      </c>
      <c r="H66" t="n">
        <v>0.9396559124833531</v>
      </c>
      <c r="I66" t="n">
        <v>0.9052154115054805</v>
      </c>
    </row>
    <row r="67">
      <c r="A67" t="n">
        <v>320</v>
      </c>
      <c r="B67" t="n">
        <v>320</v>
      </c>
      <c r="C67" t="n">
        <v>0.7660444431189778</v>
      </c>
      <c r="D67" t="n">
        <v>0.1140708399750592</v>
      </c>
      <c r="E67" t="n">
        <v>1.114070839975059</v>
      </c>
      <c r="F67" t="n">
        <v>0.8749035227904088</v>
      </c>
      <c r="G67" t="n">
        <v>1.03338210061219</v>
      </c>
      <c r="H67" t="n">
        <v>0.8749035227904088</v>
      </c>
      <c r="I67" t="n">
        <v>0.9868187931362035</v>
      </c>
    </row>
    <row r="68">
      <c r="A68" t="n">
        <v>325</v>
      </c>
      <c r="B68" t="n">
        <v>325</v>
      </c>
      <c r="C68" t="n">
        <v>0.8191520442889916</v>
      </c>
      <c r="D68" t="n">
        <v>0.1519545322482753</v>
      </c>
      <c r="E68" t="n">
        <v>1.151954532248275</v>
      </c>
      <c r="F68" t="n">
        <v>0.8183048094961661</v>
      </c>
      <c r="G68" t="n">
        <v>1.068521993063839</v>
      </c>
      <c r="H68" t="n">
        <v>0.8183048094961661</v>
      </c>
      <c r="I68" t="n">
        <v>1.076953940964281</v>
      </c>
    </row>
    <row r="69">
      <c r="A69" t="n">
        <v>330</v>
      </c>
      <c r="B69" t="n">
        <v>330</v>
      </c>
      <c r="C69" t="n">
        <v>0.8660254037844384</v>
      </c>
      <c r="D69" t="n">
        <v>0.1874999999999998</v>
      </c>
      <c r="E69" t="n">
        <v>1.1875</v>
      </c>
      <c r="F69" t="n">
        <v>0.7700493217425908</v>
      </c>
      <c r="G69" t="n">
        <v>1.101493011435832</v>
      </c>
      <c r="H69" t="n">
        <v>0.7700493217425908</v>
      </c>
      <c r="I69" t="n">
        <v>1.173244874178464</v>
      </c>
    </row>
    <row r="70">
      <c r="A70" t="n">
        <v>335</v>
      </c>
      <c r="B70" t="n">
        <v>335</v>
      </c>
      <c r="C70" t="n">
        <v>0.90630778703665</v>
      </c>
      <c r="D70" t="n">
        <v>0.2196272121794714</v>
      </c>
      <c r="E70" t="n">
        <v>1.219627212179471</v>
      </c>
      <c r="F70" t="n">
        <v>0.7300146367861235</v>
      </c>
      <c r="G70" t="n">
        <v>1.131293348019078</v>
      </c>
      <c r="H70" t="n">
        <v>0.7300146367861235</v>
      </c>
      <c r="I70" t="n">
        <v>1.271836168095969</v>
      </c>
    </row>
    <row r="71">
      <c r="A71" t="n">
        <v>340</v>
      </c>
      <c r="B71" t="n">
        <v>340</v>
      </c>
      <c r="C71" t="n">
        <v>0.9396926207859084</v>
      </c>
      <c r="D71" t="n">
        <v>0.2473599997017701</v>
      </c>
      <c r="E71" t="n">
        <v>1.24735999970177</v>
      </c>
      <c r="F71" t="n">
        <v>0.6979143905126852</v>
      </c>
      <c r="G71" t="n">
        <v>1.157017534666191</v>
      </c>
      <c r="H71" t="n">
        <v>0.6979143905126852</v>
      </c>
      <c r="I71" t="n">
        <v>1.367290552532109</v>
      </c>
    </row>
    <row r="72">
      <c r="A72" t="n">
        <v>345</v>
      </c>
      <c r="B72" t="n">
        <v>345</v>
      </c>
      <c r="C72" t="n">
        <v>0.9659258262890683</v>
      </c>
      <c r="D72" t="n">
        <v>0.2698557158514987</v>
      </c>
      <c r="E72" t="n">
        <v>1.269855715851499</v>
      </c>
      <c r="F72" t="n">
        <v>0.6734060641508406</v>
      </c>
      <c r="G72" t="n">
        <v>1.177883954982966</v>
      </c>
      <c r="H72" t="n">
        <v>0.6734060641508406</v>
      </c>
      <c r="I72" t="n">
        <v>1.45284079237225</v>
      </c>
    </row>
    <row r="73">
      <c r="A73" t="n">
        <v>350</v>
      </c>
      <c r="B73" t="n">
        <v>350</v>
      </c>
      <c r="C73" t="n">
        <v>0.984807753012208</v>
      </c>
      <c r="D73" t="n">
        <v>0.2864308396768294</v>
      </c>
      <c r="E73" t="n">
        <v>1.286430839676829</v>
      </c>
      <c r="F73" t="n">
        <v>0.6561647464475834</v>
      </c>
      <c r="G73" t="n">
        <v>1.193258593346995</v>
      </c>
      <c r="H73" t="n">
        <v>0.6561647464475834</v>
      </c>
      <c r="I73" t="n">
        <v>1.521119243945524</v>
      </c>
    </row>
    <row r="74">
      <c r="A74" t="n">
        <v>355</v>
      </c>
      <c r="B74" t="n">
        <v>355</v>
      </c>
      <c r="C74" t="n">
        <v>0.9961946980917455</v>
      </c>
      <c r="D74" t="n">
        <v>0.2965817444277468</v>
      </c>
      <c r="E74" t="n">
        <v>1.296581744427747</v>
      </c>
      <c r="F74" t="n">
        <v>0.64593077118023</v>
      </c>
      <c r="G74" t="n">
        <v>1.202674299151531</v>
      </c>
      <c r="H74" t="n">
        <v>0.64593077118023</v>
      </c>
      <c r="I74" t="n">
        <v>1.565338021918717</v>
      </c>
    </row>
    <row r="75">
      <c r="A75" t="n">
        <v>360</v>
      </c>
      <c r="B75" t="n">
        <v>360</v>
      </c>
      <c r="C75" t="n">
        <v>1</v>
      </c>
      <c r="D75" t="n">
        <v>0.3</v>
      </c>
      <c r="E75" t="n">
        <v>1.3</v>
      </c>
      <c r="F75" t="n">
        <v>0.6425383809843638</v>
      </c>
      <c r="G75" t="n">
        <v>1.20584498094028</v>
      </c>
      <c r="H75" t="n">
        <v>0.6425383809843638</v>
      </c>
      <c r="I75" t="n">
        <v>1.58066313565179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2" t="inlineStr">
        <is>
          <t>l_deg</t>
        </is>
      </c>
      <c r="B1" s="2" t="inlineStr">
        <is>
          <t>A_over_Aall</t>
        </is>
      </c>
      <c r="C1" s="2" t="inlineStr">
        <is>
          <t>A_err_low</t>
        </is>
      </c>
      <c r="D1" s="2" t="inlineStr">
        <is>
          <t>A_err_high</t>
        </is>
      </c>
    </row>
    <row r="2">
      <c r="A2" t="n">
        <v>5</v>
      </c>
      <c r="B2" t="n">
        <v>1.0718</v>
      </c>
      <c r="C2" t="n">
        <v>0.0769</v>
      </c>
      <c r="D2" t="n">
        <v>0.0897</v>
      </c>
    </row>
    <row r="3">
      <c r="A3" t="n">
        <v>10</v>
      </c>
      <c r="B3" t="n">
        <v>1.0769</v>
      </c>
      <c r="C3" t="n">
        <v>0.0718</v>
      </c>
      <c r="D3" t="n">
        <v>0.08459999999999999</v>
      </c>
    </row>
    <row r="4">
      <c r="A4" t="n">
        <v>15</v>
      </c>
      <c r="B4" t="n">
        <v>1.0769</v>
      </c>
      <c r="C4" t="n">
        <v>0.0692</v>
      </c>
      <c r="D4" t="n">
        <v>0.1077</v>
      </c>
    </row>
    <row r="5">
      <c r="A5" t="n">
        <v>20</v>
      </c>
      <c r="B5" t="n">
        <v>1.1026</v>
      </c>
      <c r="C5" t="n">
        <v>0.09229999999999999</v>
      </c>
      <c r="D5" t="n">
        <v>0.0949</v>
      </c>
    </row>
    <row r="6">
      <c r="A6" t="n">
        <v>25</v>
      </c>
      <c r="B6" t="n">
        <v>1.1103</v>
      </c>
      <c r="C6" t="n">
        <v>0.0872</v>
      </c>
      <c r="D6" t="n">
        <v>0.0872</v>
      </c>
    </row>
    <row r="7">
      <c r="A7" t="n">
        <v>30</v>
      </c>
      <c r="B7" t="n">
        <v>1.0897</v>
      </c>
      <c r="C7" t="n">
        <v>0.1</v>
      </c>
      <c r="D7" t="n">
        <v>0.1077</v>
      </c>
    </row>
    <row r="8">
      <c r="A8" t="n">
        <v>35</v>
      </c>
      <c r="B8" t="n">
        <v>1.0538</v>
      </c>
      <c r="C8" t="n">
        <v>0.0641</v>
      </c>
      <c r="D8" t="n">
        <v>0.1154</v>
      </c>
    </row>
    <row r="9">
      <c r="A9" t="n">
        <v>40</v>
      </c>
      <c r="B9" t="n">
        <v>1.0769</v>
      </c>
      <c r="C9" t="n">
        <v>0.0872</v>
      </c>
      <c r="D9" t="n">
        <v>0.07439999999999999</v>
      </c>
    </row>
    <row r="10">
      <c r="A10" t="n">
        <v>45</v>
      </c>
      <c r="B10" t="n">
        <v>1.0718</v>
      </c>
      <c r="C10" t="n">
        <v>0.0615</v>
      </c>
      <c r="D10" t="n">
        <v>0.1308</v>
      </c>
    </row>
    <row r="11">
      <c r="A11" t="n">
        <v>50</v>
      </c>
      <c r="B11" t="n">
        <v>1.1333</v>
      </c>
      <c r="C11" t="n">
        <v>0.1231</v>
      </c>
      <c r="D11" t="n">
        <v>0.0692</v>
      </c>
    </row>
    <row r="12">
      <c r="A12" t="n">
        <v>55</v>
      </c>
      <c r="B12" t="n">
        <v>1.0923</v>
      </c>
      <c r="C12" t="n">
        <v>0.08459999999999999</v>
      </c>
      <c r="D12" t="n">
        <v>0.1103</v>
      </c>
    </row>
    <row r="13">
      <c r="A13" t="n">
        <v>60</v>
      </c>
      <c r="B13" t="n">
        <v>1.0641</v>
      </c>
      <c r="C13" t="n">
        <v>0.0564</v>
      </c>
      <c r="D13" t="n">
        <v>0.0949</v>
      </c>
    </row>
    <row r="14">
      <c r="A14" t="n">
        <v>65</v>
      </c>
      <c r="B14" t="n">
        <v>1.0641</v>
      </c>
      <c r="C14" t="n">
        <v>0.0564</v>
      </c>
      <c r="D14" t="n">
        <v>0.0667</v>
      </c>
    </row>
    <row r="15">
      <c r="A15" t="n">
        <v>70</v>
      </c>
      <c r="B15" t="n">
        <v>1.0615</v>
      </c>
      <c r="C15" t="n">
        <v>0.0795</v>
      </c>
      <c r="D15" t="n">
        <v>0.0692</v>
      </c>
    </row>
    <row r="16">
      <c r="A16" t="n">
        <v>75</v>
      </c>
      <c r="B16" t="n">
        <v>1.0385</v>
      </c>
      <c r="C16" t="n">
        <v>0.0564</v>
      </c>
      <c r="D16" t="n">
        <v>0.08459999999999999</v>
      </c>
    </row>
    <row r="17">
      <c r="A17" t="n">
        <v>80</v>
      </c>
      <c r="B17" t="n">
        <v>1.0385</v>
      </c>
      <c r="C17" t="n">
        <v>0.09229999999999999</v>
      </c>
      <c r="D17" t="n">
        <v>0.0667</v>
      </c>
    </row>
    <row r="18">
      <c r="A18" t="n">
        <v>85</v>
      </c>
      <c r="B18" t="n">
        <v>1.0077</v>
      </c>
      <c r="C18" t="n">
        <v>0.0667</v>
      </c>
      <c r="D18" t="n">
        <v>0.0974</v>
      </c>
    </row>
    <row r="19">
      <c r="A19" t="n">
        <v>90</v>
      </c>
      <c r="B19" t="n">
        <v>1.0077</v>
      </c>
      <c r="C19" t="n">
        <v>0.0667</v>
      </c>
      <c r="D19" t="n">
        <v>0.08210000000000001</v>
      </c>
    </row>
    <row r="20">
      <c r="A20" t="n">
        <v>95</v>
      </c>
      <c r="B20" t="n">
        <v>1.0128</v>
      </c>
      <c r="C20" t="n">
        <v>0.1256</v>
      </c>
      <c r="D20" t="n">
        <v>0.0769</v>
      </c>
    </row>
    <row r="21">
      <c r="A21" t="n">
        <v>100</v>
      </c>
      <c r="B21" t="n">
        <v>0.9487</v>
      </c>
      <c r="C21" t="n">
        <v>0.0769</v>
      </c>
      <c r="D21" t="n">
        <v>0.141</v>
      </c>
    </row>
    <row r="22">
      <c r="A22" t="n">
        <v>105</v>
      </c>
      <c r="B22" t="n">
        <v>0.9359</v>
      </c>
      <c r="C22" t="n">
        <v>0.08210000000000001</v>
      </c>
      <c r="D22" t="n">
        <v>0.0897</v>
      </c>
    </row>
    <row r="23">
      <c r="A23" t="n">
        <v>110</v>
      </c>
      <c r="B23" t="n">
        <v>0.9154</v>
      </c>
      <c r="C23" t="n">
        <v>0.0718</v>
      </c>
      <c r="D23" t="n">
        <v>0.0974</v>
      </c>
    </row>
    <row r="24">
      <c r="A24" t="n">
        <v>115</v>
      </c>
      <c r="B24" t="n">
        <v>0.9051</v>
      </c>
      <c r="C24" t="n">
        <v>0.0795</v>
      </c>
      <c r="D24" t="n">
        <v>0.0897</v>
      </c>
    </row>
    <row r="25">
      <c r="A25" t="n">
        <v>120</v>
      </c>
      <c r="B25" t="n">
        <v>0.8923</v>
      </c>
      <c r="C25" t="n">
        <v>0.0718</v>
      </c>
      <c r="D25" t="n">
        <v>0.09229999999999999</v>
      </c>
    </row>
    <row r="26">
      <c r="A26" t="n">
        <v>125</v>
      </c>
      <c r="B26" t="n">
        <v>0.8897</v>
      </c>
      <c r="C26" t="n">
        <v>0.0692</v>
      </c>
      <c r="D26" t="n">
        <v>0.1282</v>
      </c>
    </row>
    <row r="27">
      <c r="A27" t="n">
        <v>130</v>
      </c>
      <c r="B27" t="n">
        <v>0.9231</v>
      </c>
      <c r="C27" t="n">
        <v>0.1026</v>
      </c>
      <c r="D27" t="n">
        <v>0.1564</v>
      </c>
    </row>
    <row r="28">
      <c r="A28" t="n">
        <v>135</v>
      </c>
      <c r="B28" t="n">
        <v>0.9769</v>
      </c>
      <c r="C28" t="n">
        <v>0.1282</v>
      </c>
      <c r="D28" t="n">
        <v>0.1051</v>
      </c>
    </row>
    <row r="29">
      <c r="A29" t="n">
        <v>140</v>
      </c>
      <c r="B29" t="n">
        <v>0.9718</v>
      </c>
      <c r="C29" t="n">
        <v>0.08459999999999999</v>
      </c>
      <c r="D29" t="n">
        <v>0.1436</v>
      </c>
    </row>
    <row r="30">
      <c r="A30" t="n">
        <v>145</v>
      </c>
      <c r="B30" t="n">
        <v>0.9923</v>
      </c>
      <c r="C30" t="n">
        <v>0.1051</v>
      </c>
      <c r="D30" t="n">
        <v>0.1282</v>
      </c>
    </row>
    <row r="31">
      <c r="A31" t="n">
        <v>150</v>
      </c>
      <c r="B31" t="n">
        <v>1.0077</v>
      </c>
      <c r="C31" t="n">
        <v>0.1</v>
      </c>
      <c r="D31" t="n">
        <v>0.1128</v>
      </c>
    </row>
    <row r="32">
      <c r="A32" t="n">
        <v>155</v>
      </c>
      <c r="B32" t="n">
        <v>0.9923</v>
      </c>
      <c r="C32" t="n">
        <v>0.08459999999999999</v>
      </c>
      <c r="D32" t="n">
        <v>0.1487</v>
      </c>
    </row>
    <row r="33">
      <c r="A33" t="n">
        <v>160</v>
      </c>
      <c r="B33" t="n">
        <v>1.0154</v>
      </c>
      <c r="C33" t="n">
        <v>0.1077</v>
      </c>
      <c r="D33" t="n">
        <v>0.1538</v>
      </c>
    </row>
    <row r="34">
      <c r="A34" t="n">
        <v>165</v>
      </c>
      <c r="B34" t="n">
        <v>1.0462</v>
      </c>
      <c r="C34" t="n">
        <v>0.1256</v>
      </c>
      <c r="D34" t="n">
        <v>0.1231</v>
      </c>
    </row>
    <row r="35">
      <c r="A35" t="n">
        <v>170</v>
      </c>
      <c r="B35" t="n">
        <v>1.0154</v>
      </c>
      <c r="C35" t="n">
        <v>0.0897</v>
      </c>
      <c r="D35" t="n">
        <v>0.159</v>
      </c>
    </row>
    <row r="36">
      <c r="A36" t="n">
        <v>175</v>
      </c>
      <c r="B36" t="n">
        <v>1.0564</v>
      </c>
      <c r="C36" t="n">
        <v>0.1308</v>
      </c>
      <c r="D36" t="n">
        <v>0.1179</v>
      </c>
    </row>
    <row r="37">
      <c r="A37" t="n">
        <v>180</v>
      </c>
      <c r="B37" t="n">
        <v>1.041</v>
      </c>
      <c r="C37" t="n">
        <v>0.1</v>
      </c>
      <c r="D37" t="n">
        <v>0.1333</v>
      </c>
    </row>
    <row r="38">
      <c r="A38" t="n">
        <v>185</v>
      </c>
      <c r="B38" t="n">
        <v>1.0308</v>
      </c>
      <c r="C38" t="n">
        <v>0.0897</v>
      </c>
      <c r="D38" t="n">
        <v>0.1513</v>
      </c>
    </row>
    <row r="39">
      <c r="A39" t="n">
        <v>190</v>
      </c>
      <c r="B39" t="n">
        <v>1.0641</v>
      </c>
      <c r="C39" t="n">
        <v>0.1231</v>
      </c>
      <c r="D39" t="n">
        <v>0.141</v>
      </c>
    </row>
    <row r="40">
      <c r="A40" t="n">
        <v>195</v>
      </c>
      <c r="B40" t="n">
        <v>1.0821</v>
      </c>
      <c r="C40" t="n">
        <v>0.1179</v>
      </c>
      <c r="D40" t="n">
        <v>0.1231</v>
      </c>
    </row>
    <row r="41">
      <c r="A41" t="n">
        <v>200</v>
      </c>
      <c r="B41" t="n">
        <v>1.0487</v>
      </c>
      <c r="C41" t="n">
        <v>0.1205</v>
      </c>
      <c r="D41" t="n">
        <v>0.1564</v>
      </c>
    </row>
    <row r="42">
      <c r="A42" t="n">
        <v>205</v>
      </c>
      <c r="B42" t="n">
        <v>1.0077</v>
      </c>
      <c r="C42" t="n">
        <v>0.0795</v>
      </c>
      <c r="D42" t="n">
        <v>0.1538</v>
      </c>
    </row>
    <row r="43">
      <c r="A43" t="n">
        <v>210</v>
      </c>
      <c r="B43" t="n">
        <v>1.0308</v>
      </c>
      <c r="C43" t="n">
        <v>0.1026</v>
      </c>
      <c r="D43" t="n">
        <v>0.1205</v>
      </c>
    </row>
    <row r="44">
      <c r="A44" t="n">
        <v>215</v>
      </c>
      <c r="B44" t="n">
        <v>1.0436</v>
      </c>
      <c r="C44" t="n">
        <v>0.1051</v>
      </c>
      <c r="D44" t="n">
        <v>0.1077</v>
      </c>
    </row>
    <row r="45">
      <c r="A45" t="n">
        <v>220</v>
      </c>
      <c r="B45" t="n">
        <v>1.0179</v>
      </c>
      <c r="C45" t="n">
        <v>0.1282</v>
      </c>
      <c r="D45" t="n">
        <v>0.1333</v>
      </c>
    </row>
    <row r="46">
      <c r="A46" t="n">
        <v>225</v>
      </c>
      <c r="B46" t="n">
        <v>0.959</v>
      </c>
      <c r="C46" t="n">
        <v>0.0769</v>
      </c>
      <c r="D46" t="n">
        <v>0.159</v>
      </c>
    </row>
    <row r="47">
      <c r="A47" t="n">
        <v>230</v>
      </c>
      <c r="B47" t="n">
        <v>0.9513</v>
      </c>
      <c r="C47" t="n">
        <v>0.08459999999999999</v>
      </c>
      <c r="D47" t="n">
        <v>0.0974</v>
      </c>
    </row>
    <row r="48">
      <c r="A48" t="n">
        <v>235</v>
      </c>
      <c r="B48" t="n">
        <v>0.9333</v>
      </c>
      <c r="C48" t="n">
        <v>0.08210000000000001</v>
      </c>
      <c r="D48" t="n">
        <v>0.1051</v>
      </c>
    </row>
    <row r="49">
      <c r="A49" t="n">
        <v>240</v>
      </c>
      <c r="B49" t="n">
        <v>0.9179</v>
      </c>
      <c r="C49" t="n">
        <v>0.08459999999999999</v>
      </c>
      <c r="D49" t="n">
        <v>0.0974</v>
      </c>
    </row>
    <row r="50">
      <c r="A50" t="n">
        <v>245</v>
      </c>
      <c r="B50" t="n">
        <v>0.8949</v>
      </c>
      <c r="C50" t="n">
        <v>0.0897</v>
      </c>
      <c r="D50" t="n">
        <v>0.0769</v>
      </c>
    </row>
    <row r="51">
      <c r="A51" t="n">
        <v>250</v>
      </c>
      <c r="B51" t="n">
        <v>0.8641</v>
      </c>
      <c r="C51" t="n">
        <v>0.1</v>
      </c>
      <c r="D51" t="n">
        <v>0.1077</v>
      </c>
    </row>
    <row r="52">
      <c r="A52" t="n">
        <v>255</v>
      </c>
      <c r="B52" t="n">
        <v>0.8231000000000001</v>
      </c>
      <c r="C52" t="n">
        <v>0.059</v>
      </c>
      <c r="D52" t="n">
        <v>0.141</v>
      </c>
    </row>
    <row r="53">
      <c r="A53" t="n">
        <v>260</v>
      </c>
      <c r="B53" t="n">
        <v>0.8846000000000001</v>
      </c>
      <c r="C53" t="n">
        <v>0.1205</v>
      </c>
      <c r="D53" t="n">
        <v>0.0795</v>
      </c>
    </row>
    <row r="54">
      <c r="A54" t="n">
        <v>265</v>
      </c>
      <c r="B54" t="n">
        <v>0.8821</v>
      </c>
      <c r="C54" t="n">
        <v>0.0641</v>
      </c>
      <c r="D54" t="n">
        <v>0.09229999999999999</v>
      </c>
    </row>
    <row r="55">
      <c r="A55" t="n">
        <v>270</v>
      </c>
      <c r="B55" t="n">
        <v>0.9</v>
      </c>
      <c r="C55" t="n">
        <v>0.08210000000000001</v>
      </c>
      <c r="D55" t="n">
        <v>0.07439999999999999</v>
      </c>
    </row>
    <row r="56">
      <c r="A56" t="n">
        <v>275</v>
      </c>
      <c r="B56" t="n">
        <v>0.8949</v>
      </c>
      <c r="C56" t="n">
        <v>0.059</v>
      </c>
      <c r="D56" t="n">
        <v>0.0949</v>
      </c>
    </row>
    <row r="57">
      <c r="A57" t="n">
        <v>280</v>
      </c>
      <c r="B57" t="n">
        <v>0.9154</v>
      </c>
      <c r="C57" t="n">
        <v>0.0795</v>
      </c>
      <c r="D57" t="n">
        <v>0.07439999999999999</v>
      </c>
    </row>
    <row r="58">
      <c r="A58" t="n">
        <v>285</v>
      </c>
      <c r="B58" t="n">
        <v>0.9077</v>
      </c>
      <c r="C58" t="n">
        <v>0.0615</v>
      </c>
      <c r="D58" t="n">
        <v>0.08210000000000001</v>
      </c>
    </row>
    <row r="59">
      <c r="A59" t="n">
        <v>290</v>
      </c>
      <c r="B59" t="n">
        <v>0.9051</v>
      </c>
      <c r="C59" t="n">
        <v>0.059</v>
      </c>
      <c r="D59" t="n">
        <v>0.0769</v>
      </c>
    </row>
    <row r="60">
      <c r="A60" t="n">
        <v>295</v>
      </c>
      <c r="B60" t="n">
        <v>0.9282</v>
      </c>
      <c r="C60" t="n">
        <v>0.08210000000000001</v>
      </c>
      <c r="D60" t="n">
        <v>0.1026</v>
      </c>
    </row>
    <row r="61">
      <c r="A61" t="n">
        <v>300</v>
      </c>
      <c r="B61" t="n">
        <v>0.9487</v>
      </c>
      <c r="C61" t="n">
        <v>0.08459999999999999</v>
      </c>
      <c r="D61" t="n">
        <v>0.1077</v>
      </c>
    </row>
    <row r="62">
      <c r="A62" t="n">
        <v>305</v>
      </c>
      <c r="B62" t="n">
        <v>0.9744</v>
      </c>
      <c r="C62" t="n">
        <v>0.09229999999999999</v>
      </c>
      <c r="D62" t="n">
        <v>0.08210000000000001</v>
      </c>
    </row>
    <row r="63">
      <c r="A63" t="n">
        <v>310</v>
      </c>
      <c r="B63" t="n">
        <v>0.9538</v>
      </c>
      <c r="C63" t="n">
        <v>0.0692</v>
      </c>
      <c r="D63" t="n">
        <v>0.1026</v>
      </c>
    </row>
    <row r="64">
      <c r="A64" t="n">
        <v>315</v>
      </c>
      <c r="B64" t="n">
        <v>0.9718</v>
      </c>
      <c r="C64" t="n">
        <v>0.09229999999999999</v>
      </c>
      <c r="D64" t="n">
        <v>0.08459999999999999</v>
      </c>
    </row>
    <row r="65">
      <c r="A65" t="n">
        <v>320</v>
      </c>
      <c r="B65" t="n">
        <v>0.9692</v>
      </c>
      <c r="C65" t="n">
        <v>0.0897</v>
      </c>
      <c r="D65" t="n">
        <v>0.0897</v>
      </c>
    </row>
    <row r="66">
      <c r="A66" t="n">
        <v>325</v>
      </c>
      <c r="B66" t="n">
        <v>0.9718</v>
      </c>
      <c r="C66" t="n">
        <v>0.09229999999999999</v>
      </c>
      <c r="D66" t="n">
        <v>0.1128</v>
      </c>
    </row>
    <row r="67">
      <c r="A67" t="n">
        <v>330</v>
      </c>
      <c r="B67" t="n">
        <v>0.9923</v>
      </c>
      <c r="C67" t="n">
        <v>0.09229999999999999</v>
      </c>
      <c r="D67" t="n">
        <v>0.1205</v>
      </c>
    </row>
    <row r="68">
      <c r="A68" t="n">
        <v>335</v>
      </c>
      <c r="B68" t="n">
        <v>1.0282</v>
      </c>
      <c r="C68" t="n">
        <v>0.1026</v>
      </c>
      <c r="D68" t="n">
        <v>0.0949</v>
      </c>
    </row>
    <row r="69">
      <c r="A69" t="n">
        <v>340</v>
      </c>
      <c r="B69" t="n">
        <v>1.0359</v>
      </c>
      <c r="C69" t="n">
        <v>0.08459999999999999</v>
      </c>
      <c r="D69" t="n">
        <v>0.1205</v>
      </c>
    </row>
    <row r="70">
      <c r="A70" t="n">
        <v>345</v>
      </c>
      <c r="B70" t="n">
        <v>1.0641</v>
      </c>
      <c r="C70" t="n">
        <v>0.1</v>
      </c>
      <c r="D70" t="n">
        <v>0.09229999999999999</v>
      </c>
    </row>
    <row r="71">
      <c r="A71" t="n">
        <v>350</v>
      </c>
      <c r="B71" t="n">
        <v>1.059</v>
      </c>
      <c r="C71" t="n">
        <v>0.0718</v>
      </c>
      <c r="D71" t="n">
        <v>0.0974</v>
      </c>
    </row>
    <row r="72">
      <c r="A72" t="n">
        <v>355</v>
      </c>
      <c r="B72" t="n">
        <v>1.0564</v>
      </c>
      <c r="C72" t="n">
        <v>0.0692</v>
      </c>
      <c r="D72" t="n">
        <v>0.0872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2026-09-19T17:13:33Z</dcterms:created>
  <dcterms:modified xsi:type="dcterms:W3CDTF">2026-09-19T17:13:34Z</dcterms:modified>
</cp:coreProperties>
</file>